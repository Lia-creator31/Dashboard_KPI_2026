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S:\Duk_Adm_Perencanaan Desain\Aldie\ALDIE\1. Data Personil\Struktur Organisasi Include Anggota (Old)\"/>
    </mc:Choice>
  </mc:AlternateContent>
  <xr:revisionPtr revIDLastSave="0" documentId="13_ncr:1_{593C7E74-309A-44D0-9D7A-3998363EA061}" xr6:coauthVersionLast="47" xr6:coauthVersionMax="47" xr10:uidLastSave="{00000000-0000-0000-0000-000000000000}"/>
  <bookViews>
    <workbookView xWindow="28680" yWindow="-75" windowWidth="29040" windowHeight="15840" xr2:uid="{87B204AD-D9FD-45C6-BEC7-FA8A19994896}"/>
  </bookViews>
  <sheets>
    <sheet name="CalonPers" sheetId="1" r:id="rId1"/>
  </sheets>
  <definedNames>
    <definedName name="_xlnm.Print_Area" localSheetId="0">CalonPers!$A$1:$AJ$92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1" l="1"/>
  <c r="E78" i="1"/>
  <c r="E75" i="1"/>
  <c r="I72" i="1"/>
  <c r="I68" i="1"/>
  <c r="I66" i="1"/>
  <c r="I65" i="1"/>
  <c r="I64" i="1"/>
  <c r="I73" i="1" s="1"/>
</calcChain>
</file>

<file path=xl/sharedStrings.xml><?xml version="1.0" encoding="utf-8"?>
<sst xmlns="http://schemas.openxmlformats.org/spreadsheetml/2006/main" count="246" uniqueCount="239">
  <si>
    <t>STRUKTUR ORGANISASI  DIVISI DESAIN</t>
  </si>
  <si>
    <t>KADIV. DESAIN</t>
  </si>
  <si>
    <t>DEDY WAHYUDI,. S.T .,M.T., Phd</t>
  </si>
  <si>
    <t>SEKRETARIS DIVISI</t>
  </si>
  <si>
    <t>Wendy Mega Arta</t>
  </si>
  <si>
    <t>Departemen Perencanaan Desain</t>
  </si>
  <si>
    <t>Departemen Desain Dasar</t>
  </si>
  <si>
    <t>Departemen Struktur dan Perlengkapan Lambung</t>
  </si>
  <si>
    <t xml:space="preserve">Departemen Struktur &amp; Perlengkapan Permesinan </t>
  </si>
  <si>
    <t>Departemen Perlengkapan Listrik &amp; Elektronika</t>
  </si>
  <si>
    <t>Departemen HPS</t>
  </si>
  <si>
    <t>Timbul Guntoro</t>
  </si>
  <si>
    <t>Helmy Taufan</t>
  </si>
  <si>
    <t xml:space="preserve">M. Arief Hamdani </t>
  </si>
  <si>
    <t>Fatah Ibrahim</t>
  </si>
  <si>
    <t>Nur Widodo</t>
  </si>
  <si>
    <t>Widijo Utomo</t>
  </si>
  <si>
    <t xml:space="preserve">Biro Dokumen dan Perencanaan </t>
  </si>
  <si>
    <t>Biro Desain Pengembangan Desain</t>
  </si>
  <si>
    <t>Biro Desain Struktur Lambung</t>
  </si>
  <si>
    <t>Biro Sistem Propulsi</t>
  </si>
  <si>
    <t>Biro Sistem Kelistrikan</t>
  </si>
  <si>
    <t>Biro HPS Material</t>
  </si>
  <si>
    <t>Dyan Asih Purwanti</t>
  </si>
  <si>
    <t>Budi Setiawan</t>
  </si>
  <si>
    <t>Bambang Soefiyandono</t>
  </si>
  <si>
    <t>Anwar Fadli</t>
  </si>
  <si>
    <t>Hari Setiyono</t>
  </si>
  <si>
    <t>Kartika Sari</t>
  </si>
  <si>
    <t>Wisnu Azwar Annas</t>
  </si>
  <si>
    <t>Moh. Hamzah Satriawansyah</t>
  </si>
  <si>
    <t>Kasmiatin</t>
  </si>
  <si>
    <t>Krisdiyantoro</t>
  </si>
  <si>
    <t>Priyono Tri Arwanto</t>
  </si>
  <si>
    <t>Dadang Rachmat Hidayat</t>
  </si>
  <si>
    <t>Hashfi Moch Adam</t>
  </si>
  <si>
    <t>Irma Mahardhika Putri</t>
  </si>
  <si>
    <t>Yuli Kustiadi</t>
  </si>
  <si>
    <t>Diar Ayu Yonanda</t>
  </si>
  <si>
    <t>Nugroho Adi Wicaksono</t>
  </si>
  <si>
    <t>Moh. Nizar Zulmi Z</t>
  </si>
  <si>
    <t>Moch. Rizqy</t>
  </si>
  <si>
    <t>Ary Tri Ratnaningtyas</t>
  </si>
  <si>
    <t>Pijar Kasih Leksono Putri</t>
  </si>
  <si>
    <t>Aditya Prayoga</t>
  </si>
  <si>
    <t>Rendra Wardana</t>
  </si>
  <si>
    <t>Hari Priyono</t>
  </si>
  <si>
    <t>Ahmad Muhtarif Ihyail Haqi</t>
  </si>
  <si>
    <t>Dea Putri Ubaidah</t>
  </si>
  <si>
    <t>Miekail Thoba Noech</t>
  </si>
  <si>
    <t>Firsyaldo Rizky Purnomo</t>
  </si>
  <si>
    <t>Biro HPS Jasa &amp; Investasi</t>
  </si>
  <si>
    <t>Agustina Indira Wati</t>
  </si>
  <si>
    <t>Agung Laksono</t>
  </si>
  <si>
    <t>Amam Baharullah</t>
  </si>
  <si>
    <t>Aldiansyah Dwi Teguh S</t>
  </si>
  <si>
    <t>Pratama Akbar</t>
  </si>
  <si>
    <t>Fiqih Setyo Suroso</t>
  </si>
  <si>
    <t>Biro Desain Dasar Kapal Selam</t>
  </si>
  <si>
    <t xml:space="preserve">Felix Adyatma Rosyadi </t>
  </si>
  <si>
    <t>Slamet Sukirno</t>
  </si>
  <si>
    <t>Muhammad Naufal Maulana</t>
  </si>
  <si>
    <t xml:space="preserve">Ary Prastyawan </t>
  </si>
  <si>
    <t>Ridho Anggoro</t>
  </si>
  <si>
    <t>Mukhammad Arifin</t>
  </si>
  <si>
    <t>Rama Ajimukti Abdurrahman</t>
  </si>
  <si>
    <t>Valina Destya</t>
  </si>
  <si>
    <t>Yogi Isworo Walasakti</t>
  </si>
  <si>
    <t>Harun Alrosyid</t>
  </si>
  <si>
    <t>Sigit Iskiyarsah</t>
  </si>
  <si>
    <t>Muhammad Irvan Bahtiar</t>
  </si>
  <si>
    <t>Arizal Haq Dita Ahmadi</t>
  </si>
  <si>
    <t>Biro Dukungan Logistik Terpadu</t>
  </si>
  <si>
    <t>Diana Eka Putri</t>
  </si>
  <si>
    <t>Tori Ramadeni</t>
  </si>
  <si>
    <t>Biro Pengaturan Permesinan</t>
  </si>
  <si>
    <t>Rafli Setiawan Zulkifli</t>
  </si>
  <si>
    <t>Rr. Dian Nuur Arina</t>
  </si>
  <si>
    <t>Bani Nazir Seisala Ambesa</t>
  </si>
  <si>
    <t>Syafril Riza</t>
  </si>
  <si>
    <t xml:space="preserve">Muhamad Faisal Ramadhan </t>
  </si>
  <si>
    <t>Ekasari Raganingrum</t>
  </si>
  <si>
    <t>Biro Desain Dasar Non Kapal</t>
  </si>
  <si>
    <t>Djoko Santoso</t>
  </si>
  <si>
    <t>Ikhwannul Yahya Zhakaria</t>
  </si>
  <si>
    <t>Muhammad Imam Jazuli</t>
  </si>
  <si>
    <t>Beatrice Morlyta I.</t>
  </si>
  <si>
    <t>Biro Desain Akomodasi</t>
  </si>
  <si>
    <t>Asi Supeni</t>
  </si>
  <si>
    <t>Muhammad Rizal Zaini</t>
  </si>
  <si>
    <t>Hafiyyan Habib</t>
  </si>
  <si>
    <t>Luciana Tjatur Sulastri</t>
  </si>
  <si>
    <t>Nunuk Ekky W</t>
  </si>
  <si>
    <t>Syaiful Bachri</t>
  </si>
  <si>
    <t>Muhammad Shalahuddin Al Misbah</t>
  </si>
  <si>
    <t>Bayu Nurwana</t>
  </si>
  <si>
    <t>Agus Wibowo</t>
  </si>
  <si>
    <t>Fajriatin Iswani Widadi</t>
  </si>
  <si>
    <t>Moch. Yasin</t>
  </si>
  <si>
    <t>Arfandi Eko Saputro</t>
  </si>
  <si>
    <t>Desty</t>
  </si>
  <si>
    <t>Fendi Miranda</t>
  </si>
  <si>
    <t>Indra Dwi Pratama</t>
  </si>
  <si>
    <t>Moch. Dimas Lutfi Antoro</t>
  </si>
  <si>
    <t>Fortunaviaza Habib Ainudin</t>
  </si>
  <si>
    <t>Surya Baskara</t>
  </si>
  <si>
    <t>Mey Resty Nugraheni</t>
  </si>
  <si>
    <t>Miftahulrachman F  H</t>
  </si>
  <si>
    <t>Erly Putri Adyanti</t>
  </si>
  <si>
    <t>Latho Iful Ikhsan</t>
  </si>
  <si>
    <t>Bagas Syahputra</t>
  </si>
  <si>
    <t>Ahmad Amirulloh</t>
  </si>
  <si>
    <t>Afrizal Bramantya Putra</t>
  </si>
  <si>
    <t>Mochammad Rizki Romadhoni</t>
  </si>
  <si>
    <t>Muhammad Rizal Afandhi</t>
  </si>
  <si>
    <t>Muhammad Mirza</t>
  </si>
  <si>
    <t xml:space="preserve">Bagus Kurniawan </t>
  </si>
  <si>
    <t>Ahmad Ahdi Fuadi</t>
  </si>
  <si>
    <t>Yusuf Eko Subandrio</t>
  </si>
  <si>
    <t>Biro Dukungan &amp; Administrasi</t>
  </si>
  <si>
    <t>Tri Handoyo</t>
  </si>
  <si>
    <t>Masulikan</t>
  </si>
  <si>
    <t>Dafit Suprianto Pria Utama</t>
  </si>
  <si>
    <t>Satrya Ramadhani</t>
  </si>
  <si>
    <t>Hesti Oktiva Rahmi</t>
  </si>
  <si>
    <t>Minarti Shinta Putri Utomo</t>
  </si>
  <si>
    <t>Atsil Dzakwan</t>
  </si>
  <si>
    <t>Hafidh El Amien Iskandar</t>
  </si>
  <si>
    <t xml:space="preserve">Isfar Alim Ramdan </t>
  </si>
  <si>
    <t>Aldie Akbar S</t>
  </si>
  <si>
    <t>Nur Fuadi Afif Zaisyah</t>
  </si>
  <si>
    <t>Nixzam Fathurrahman</t>
  </si>
  <si>
    <t>Rizqi Fajar Pratama</t>
  </si>
  <si>
    <t>Muhammad Zukha Alfinaz</t>
  </si>
  <si>
    <t>Nur Zakiyyah</t>
  </si>
  <si>
    <t>Luqman Chakim</t>
  </si>
  <si>
    <t>Rio Nur Iqbal Krisnaini</t>
  </si>
  <si>
    <t>Sulton Alfarizi</t>
  </si>
  <si>
    <t>Nizhar Achmad Husein Bernardt</t>
  </si>
  <si>
    <t>Alif Junaidi</t>
  </si>
  <si>
    <t>Yoan Gunasakti</t>
  </si>
  <si>
    <t>Ahmad Wildani</t>
  </si>
  <si>
    <t>Biro Sistem Kontrol dan Otomasi</t>
  </si>
  <si>
    <t xml:space="preserve">Nurhuda Arieffianto </t>
  </si>
  <si>
    <t xml:space="preserve">Rusdiantoro Syarif
</t>
  </si>
  <si>
    <t>Angga Saputra</t>
  </si>
  <si>
    <t>Andika Aldo</t>
  </si>
  <si>
    <t>Biro Desain Dasar Kapal Permukaan</t>
  </si>
  <si>
    <t>Alfian Mahendra Andriansyah</t>
  </si>
  <si>
    <t>Nasruddin Al Ansori</t>
  </si>
  <si>
    <t>Jalil Irfanartiko</t>
  </si>
  <si>
    <t>Biro Desain Perlengkapan Lambung</t>
  </si>
  <si>
    <t>Dimas Choerul Aris</t>
  </si>
  <si>
    <t>Rianto Wibowo</t>
  </si>
  <si>
    <t>Rahadian Lingga Pratama</t>
  </si>
  <si>
    <t>Iyan Anggertyo</t>
  </si>
  <si>
    <t>Maulidi Hidayatullah Yasri</t>
  </si>
  <si>
    <t>Regina Ayu Suharsono</t>
  </si>
  <si>
    <t>Arif Billah</t>
  </si>
  <si>
    <t>Muhammad Masyhudi</t>
  </si>
  <si>
    <t>Muhammad Khoiron Khakim</t>
  </si>
  <si>
    <t>Candra Dwi Irawan</t>
  </si>
  <si>
    <t>Ernita Lisyiya S.</t>
  </si>
  <si>
    <t>Septiawati Karina</t>
  </si>
  <si>
    <t>Sutan Aditya Perdana</t>
  </si>
  <si>
    <t>Biro Sistem HVAC dan Permesinan Geladak</t>
  </si>
  <si>
    <t>Suparno Fathurroji</t>
  </si>
  <si>
    <t>Muhammad Farhan</t>
  </si>
  <si>
    <t>Muhammad Farid Rizal Basofi</t>
  </si>
  <si>
    <t>Khoirul Anam</t>
  </si>
  <si>
    <t>Stevan Manuky Putra</t>
  </si>
  <si>
    <t>Maulana Hirwa Asrory</t>
  </si>
  <si>
    <t>Brigita Irene Widayanti</t>
  </si>
  <si>
    <t>Nur Muhammad Irfan</t>
  </si>
  <si>
    <t xml:space="preserve">Nurissabiqoh Binta Bayu </t>
  </si>
  <si>
    <t>Ali Miftakhurridlo</t>
  </si>
  <si>
    <t>Ardan Nagra Coutsar</t>
  </si>
  <si>
    <t>Sathya Dewi Parinties</t>
  </si>
  <si>
    <t>Wahyu Adi Satrio</t>
  </si>
  <si>
    <t>Biro Elektronika</t>
  </si>
  <si>
    <t>Angger Prasojo</t>
  </si>
  <si>
    <t>Moh Firmansyah</t>
  </si>
  <si>
    <t>Minahul Karim</t>
  </si>
  <si>
    <t>Amar Zainul Fikri</t>
  </si>
  <si>
    <t xml:space="preserve">Rafika Mantika </t>
  </si>
  <si>
    <t>Tubagus Aziz Zulfikar</t>
  </si>
  <si>
    <t>Shaviul Oktavian</t>
  </si>
  <si>
    <t>Ahmad Khunaifi</t>
  </si>
  <si>
    <t>Nissa Cahyaningtyas Safitri</t>
  </si>
  <si>
    <t>Muhammad Fa'iq Raihan</t>
  </si>
  <si>
    <t xml:space="preserve">Faris Novariansyah </t>
  </si>
  <si>
    <t>Ferryanto Wira Nugroho</t>
  </si>
  <si>
    <t>KADIV + SET</t>
  </si>
  <si>
    <t>PERSONIL</t>
  </si>
  <si>
    <t>I Gusti Ngurah D,ST</t>
  </si>
  <si>
    <t>Anastas Rizaly</t>
  </si>
  <si>
    <t>Duviky Erison</t>
  </si>
  <si>
    <t>Ryzzal Archielevia Januarysta</t>
  </si>
  <si>
    <t>Fahrul Rosikin</t>
  </si>
  <si>
    <t xml:space="preserve">Biro Desain Produksi Lambung </t>
  </si>
  <si>
    <t>Wasis Pringgo Wibisono</t>
  </si>
  <si>
    <t>Andino Kharis Juniawan</t>
  </si>
  <si>
    <t>Eko Jarot Pranyoto</t>
  </si>
  <si>
    <t>Muhammad Rizqi Mubaroq</t>
  </si>
  <si>
    <t>Abdul Wahid Safiudin</t>
  </si>
  <si>
    <t>Mila Al Muzzammil</t>
  </si>
  <si>
    <t>Muh. Faizal</t>
  </si>
  <si>
    <t>Lifan Gusjianto</t>
  </si>
  <si>
    <t>Zakiyah</t>
  </si>
  <si>
    <t>Ayu Nur Fadhilah</t>
  </si>
  <si>
    <t>M Yusuf Maulana</t>
  </si>
  <si>
    <t>Muhammad Aminur Rois</t>
  </si>
  <si>
    <t>DEPARTEMEN HPS</t>
  </si>
  <si>
    <t>Irwan Dwi Febriansyah</t>
  </si>
  <si>
    <t>Tenaga Kebersihan</t>
  </si>
  <si>
    <t>TOTAL</t>
  </si>
  <si>
    <t>Roni Ardian Kusuma</t>
  </si>
  <si>
    <t>Nur Ainy Suntoro</t>
  </si>
  <si>
    <t>Ahmad</t>
  </si>
  <si>
    <t>PKWTT</t>
  </si>
  <si>
    <t>Ahmad Taufiqurohman</t>
  </si>
  <si>
    <t>Agung Apriadi</t>
  </si>
  <si>
    <t>PKWT</t>
  </si>
  <si>
    <t>Fauzan Abdul Hakim</t>
  </si>
  <si>
    <t>Anas Andriyansya</t>
  </si>
  <si>
    <t>ALIH DAYA</t>
  </si>
  <si>
    <t>Mahadi Dwi Januar</t>
  </si>
  <si>
    <t>Devany Rizki Verdiana</t>
  </si>
  <si>
    <t>M. Andhika Pradana</t>
  </si>
  <si>
    <t xml:space="preserve">                                                                                                                                                                                    </t>
  </si>
  <si>
    <t>Rangga Alif Putra</t>
  </si>
  <si>
    <t>Renanda Bayu Harsi</t>
  </si>
  <si>
    <t xml:space="preserve">Daniel Wahyu Adi Setiawan </t>
  </si>
  <si>
    <t>Adham Gus Ariandawam</t>
  </si>
  <si>
    <t>DEPARTEMEN PERENCANAAN DESAIN</t>
  </si>
  <si>
    <t>DEPARTEMEN DESAIN DASAR</t>
  </si>
  <si>
    <t>DEPARTEMEN STRUKTUR &amp; PERLENGKAPAN LAMBUNG</t>
  </si>
  <si>
    <t>DEPARTEMEN STRUKTUR DAN PERLENGKAPAN PERMESINAN</t>
  </si>
  <si>
    <t>DEPARTEMEN PERLENGKAPAN LISTRIK dan ELEKTRONIKA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</si>
</sst>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u/>
      <sz val="48"/>
      <color theme="1"/>
      <name val="Arial"/>
      <family val="2"/>
    </font>
    <font>
      <b/>
      <u/>
      <sz val="4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sz val="26"/>
      <name val="Arial"/>
      <family val="2"/>
    </font>
    <font>
      <b/>
      <sz val="26"/>
      <name val="Arial"/>
      <family val="2"/>
    </font>
    <font>
      <sz val="24"/>
      <name val="Arial"/>
      <family val="2"/>
    </font>
    <font>
      <b/>
      <sz val="22"/>
      <name val="Arial"/>
      <family val="2"/>
    </font>
    <font>
      <sz val="22"/>
      <name val="Arial"/>
      <family val="2"/>
    </font>
    <font>
      <sz val="22"/>
      <name val="Arial Black"/>
      <family val="2"/>
    </font>
    <font>
      <b/>
      <sz val="28"/>
      <name val="Arial"/>
      <family val="2"/>
    </font>
    <font>
      <sz val="11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4C904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medium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50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19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4" fillId="0" borderId="17" xfId="0" applyFont="1" applyBorder="1"/>
    <xf numFmtId="0" fontId="4" fillId="0" borderId="22" xfId="0" applyFont="1" applyBorder="1"/>
    <xf numFmtId="0" fontId="9" fillId="0" borderId="0" xfId="0" applyFont="1" applyAlignment="1">
      <alignment vertical="center" wrapText="1"/>
    </xf>
    <xf numFmtId="0" fontId="9" fillId="0" borderId="3" xfId="0" applyFont="1" applyBorder="1" applyAlignment="1">
      <alignment vertical="center"/>
    </xf>
    <xf numFmtId="0" fontId="7" fillId="0" borderId="11" xfId="0" applyFont="1" applyBorder="1"/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4" fillId="0" borderId="11" xfId="0" applyFont="1" applyBorder="1"/>
    <xf numFmtId="0" fontId="7" fillId="0" borderId="21" xfId="0" applyFont="1" applyBorder="1"/>
    <xf numFmtId="0" fontId="8" fillId="0" borderId="8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4" fillId="0" borderId="8" xfId="0" applyFont="1" applyBorder="1"/>
    <xf numFmtId="0" fontId="7" fillId="0" borderId="27" xfId="0" applyFont="1" applyBorder="1"/>
    <xf numFmtId="0" fontId="8" fillId="0" borderId="27" xfId="0" applyFont="1" applyBorder="1" applyAlignment="1">
      <alignment vertical="center"/>
    </xf>
    <xf numFmtId="0" fontId="7" fillId="0" borderId="28" xfId="0" applyFont="1" applyBorder="1"/>
    <xf numFmtId="0" fontId="8" fillId="0" borderId="28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7" fillId="0" borderId="26" xfId="0" applyFont="1" applyBorder="1"/>
    <xf numFmtId="0" fontId="8" fillId="0" borderId="30" xfId="0" applyFont="1" applyBorder="1" applyAlignment="1">
      <alignment horizontal="center" vertical="center"/>
    </xf>
    <xf numFmtId="0" fontId="8" fillId="0" borderId="31" xfId="0" applyFont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8" fillId="0" borderId="33" xfId="0" applyFont="1" applyBorder="1" applyAlignment="1">
      <alignment vertical="center"/>
    </xf>
    <xf numFmtId="0" fontId="8" fillId="0" borderId="34" xfId="0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8" fillId="0" borderId="37" xfId="0" applyFont="1" applyBorder="1" applyAlignment="1">
      <alignment horizontal="center" vertical="center"/>
    </xf>
    <xf numFmtId="0" fontId="8" fillId="3" borderId="35" xfId="0" applyFont="1" applyFill="1" applyBorder="1"/>
    <xf numFmtId="0" fontId="8" fillId="3" borderId="35" xfId="0" applyFont="1" applyFill="1" applyBorder="1" applyAlignment="1">
      <alignment vertical="center"/>
    </xf>
    <xf numFmtId="0" fontId="8" fillId="3" borderId="36" xfId="0" applyFont="1" applyFill="1" applyBorder="1" applyAlignment="1">
      <alignment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5" xfId="0" applyFont="1" applyFill="1" applyBorder="1"/>
    <xf numFmtId="0" fontId="8" fillId="2" borderId="36" xfId="0" applyFont="1" applyFill="1" applyBorder="1"/>
    <xf numFmtId="0" fontId="8" fillId="0" borderId="39" xfId="0" applyFont="1" applyBorder="1" applyAlignment="1">
      <alignment horizontal="center" vertical="center"/>
    </xf>
    <xf numFmtId="0" fontId="8" fillId="0" borderId="40" xfId="0" applyFont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4" fillId="0" borderId="40" xfId="0" applyFont="1" applyBorder="1"/>
    <xf numFmtId="0" fontId="4" fillId="0" borderId="41" xfId="0" applyFont="1" applyBorder="1"/>
    <xf numFmtId="0" fontId="8" fillId="2" borderId="35" xfId="0" applyFont="1" applyFill="1" applyBorder="1" applyAlignment="1">
      <alignment vertical="center"/>
    </xf>
    <xf numFmtId="0" fontId="8" fillId="2" borderId="36" xfId="0" applyFont="1" applyFill="1" applyBorder="1" applyAlignment="1">
      <alignment vertical="center"/>
    </xf>
    <xf numFmtId="0" fontId="8" fillId="2" borderId="37" xfId="0" applyFont="1" applyFill="1" applyBorder="1" applyAlignment="1">
      <alignment horizontal="center" vertical="center"/>
    </xf>
    <xf numFmtId="0" fontId="8" fillId="2" borderId="33" xfId="0" applyFont="1" applyFill="1" applyBorder="1"/>
    <xf numFmtId="0" fontId="8" fillId="2" borderId="34" xfId="0" applyFont="1" applyFill="1" applyBorder="1"/>
    <xf numFmtId="0" fontId="5" fillId="0" borderId="28" xfId="0" applyFont="1" applyBorder="1"/>
    <xf numFmtId="0" fontId="8" fillId="4" borderId="38" xfId="0" applyFont="1" applyFill="1" applyBorder="1" applyAlignment="1">
      <alignment horizontal="center" vertical="center"/>
    </xf>
    <xf numFmtId="0" fontId="8" fillId="4" borderId="35" xfId="0" applyFont="1" applyFill="1" applyBorder="1"/>
    <xf numFmtId="0" fontId="8" fillId="4" borderId="36" xfId="0" applyFont="1" applyFill="1" applyBorder="1"/>
    <xf numFmtId="0" fontId="8" fillId="3" borderId="39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vertical="center"/>
    </xf>
    <xf numFmtId="0" fontId="8" fillId="3" borderId="41" xfId="0" applyFont="1" applyFill="1" applyBorder="1" applyAlignment="1">
      <alignment vertical="center"/>
    </xf>
    <xf numFmtId="0" fontId="8" fillId="3" borderId="36" xfId="0" applyFont="1" applyFill="1" applyBorder="1"/>
    <xf numFmtId="0" fontId="4" fillId="0" borderId="5" xfId="0" applyFont="1" applyBorder="1"/>
    <xf numFmtId="0" fontId="5" fillId="0" borderId="26" xfId="0" applyFont="1" applyBorder="1"/>
    <xf numFmtId="0" fontId="8" fillId="4" borderId="42" xfId="0" applyFont="1" applyFill="1" applyBorder="1" applyAlignment="1">
      <alignment horizontal="center" vertical="center"/>
    </xf>
    <xf numFmtId="0" fontId="8" fillId="4" borderId="43" xfId="0" applyFont="1" applyFill="1" applyBorder="1"/>
    <xf numFmtId="0" fontId="8" fillId="4" borderId="44" xfId="0" applyFont="1" applyFill="1" applyBorder="1"/>
    <xf numFmtId="0" fontId="8" fillId="4" borderId="29" xfId="0" applyFont="1" applyFill="1" applyBorder="1" applyAlignment="1">
      <alignment horizontal="center" vertical="center"/>
    </xf>
    <xf numFmtId="0" fontId="8" fillId="4" borderId="40" xfId="0" applyFont="1" applyFill="1" applyBorder="1"/>
    <xf numFmtId="0" fontId="8" fillId="4" borderId="41" xfId="0" applyFont="1" applyFill="1" applyBorder="1"/>
    <xf numFmtId="0" fontId="5" fillId="2" borderId="33" xfId="0" applyFont="1" applyFill="1" applyBorder="1"/>
    <xf numFmtId="0" fontId="5" fillId="2" borderId="34" xfId="0" applyFont="1" applyFill="1" applyBorder="1"/>
    <xf numFmtId="0" fontId="8" fillId="4" borderId="39" xfId="0" applyFont="1" applyFill="1" applyBorder="1" applyAlignment="1">
      <alignment horizontal="center" vertical="center"/>
    </xf>
    <xf numFmtId="0" fontId="8" fillId="2" borderId="43" xfId="0" applyFont="1" applyFill="1" applyBorder="1"/>
    <xf numFmtId="0" fontId="8" fillId="2" borderId="44" xfId="0" applyFont="1" applyFill="1" applyBorder="1"/>
    <xf numFmtId="0" fontId="8" fillId="3" borderId="5" xfId="0" applyFont="1" applyFill="1" applyBorder="1" applyAlignment="1">
      <alignment horizontal="center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31" xfId="0" applyFont="1" applyFill="1" applyBorder="1"/>
    <xf numFmtId="0" fontId="8" fillId="3" borderId="32" xfId="0" applyFont="1" applyFill="1" applyBorder="1"/>
    <xf numFmtId="0" fontId="8" fillId="4" borderId="42" xfId="0" applyFont="1" applyFill="1" applyBorder="1" applyAlignment="1">
      <alignment horizontal="center"/>
    </xf>
    <xf numFmtId="0" fontId="8" fillId="4" borderId="12" xfId="0" applyFont="1" applyFill="1" applyBorder="1" applyAlignment="1">
      <alignment horizontal="center" vertical="center"/>
    </xf>
    <xf numFmtId="0" fontId="8" fillId="4" borderId="8" xfId="0" applyFont="1" applyFill="1" applyBorder="1"/>
    <xf numFmtId="0" fontId="8" fillId="4" borderId="13" xfId="0" applyFont="1" applyFill="1" applyBorder="1"/>
    <xf numFmtId="0" fontId="8" fillId="0" borderId="26" xfId="0" applyFont="1" applyBorder="1"/>
    <xf numFmtId="0" fontId="8" fillId="4" borderId="37" xfId="0" applyFont="1" applyFill="1" applyBorder="1" applyAlignment="1">
      <alignment horizontal="center"/>
    </xf>
    <xf numFmtId="0" fontId="4" fillId="0" borderId="26" xfId="0" applyFont="1" applyBorder="1"/>
    <xf numFmtId="0" fontId="8" fillId="4" borderId="39" xfId="0" applyFont="1" applyFill="1" applyBorder="1" applyAlignment="1">
      <alignment horizontal="center"/>
    </xf>
    <xf numFmtId="0" fontId="8" fillId="0" borderId="38" xfId="0" applyFont="1" applyBorder="1" applyAlignment="1">
      <alignment horizontal="center" vertical="center"/>
    </xf>
    <xf numFmtId="0" fontId="8" fillId="0" borderId="5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31" xfId="0" applyFont="1" applyBorder="1"/>
    <xf numFmtId="0" fontId="5" fillId="0" borderId="32" xfId="0" applyFont="1" applyBorder="1"/>
    <xf numFmtId="0" fontId="8" fillId="0" borderId="35" xfId="0" applyFont="1" applyBorder="1"/>
    <xf numFmtId="0" fontId="8" fillId="2" borderId="37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 vertical="center"/>
    </xf>
    <xf numFmtId="0" fontId="8" fillId="0" borderId="43" xfId="0" applyFont="1" applyBorder="1" applyAlignment="1">
      <alignment vertical="center"/>
    </xf>
    <xf numFmtId="0" fontId="8" fillId="4" borderId="35" xfId="0" applyFont="1" applyFill="1" applyBorder="1" applyAlignment="1">
      <alignment vertical="center"/>
    </xf>
    <xf numFmtId="0" fontId="8" fillId="4" borderId="36" xfId="0" applyFont="1" applyFill="1" applyBorder="1" applyAlignment="1">
      <alignment vertical="center"/>
    </xf>
    <xf numFmtId="0" fontId="8" fillId="0" borderId="44" xfId="0" applyFont="1" applyBorder="1" applyAlignment="1">
      <alignment vertical="center"/>
    </xf>
    <xf numFmtId="0" fontId="7" fillId="0" borderId="17" xfId="0" applyFont="1" applyBorder="1"/>
    <xf numFmtId="0" fontId="8" fillId="3" borderId="37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/>
    </xf>
    <xf numFmtId="0" fontId="8" fillId="3" borderId="5" xfId="0" applyFont="1" applyFill="1" applyBorder="1"/>
    <xf numFmtId="0" fontId="8" fillId="4" borderId="40" xfId="0" applyFont="1" applyFill="1" applyBorder="1" applyAlignment="1">
      <alignment vertical="center"/>
    </xf>
    <xf numFmtId="0" fontId="8" fillId="4" borderId="41" xfId="0" applyFont="1" applyFill="1" applyBorder="1" applyAlignment="1">
      <alignment vertical="center"/>
    </xf>
    <xf numFmtId="0" fontId="8" fillId="0" borderId="45" xfId="0" applyFont="1" applyBorder="1" applyAlignment="1">
      <alignment vertical="center"/>
    </xf>
    <xf numFmtId="0" fontId="4" fillId="0" borderId="27" xfId="0" applyFont="1" applyBorder="1"/>
    <xf numFmtId="0" fontId="5" fillId="4" borderId="43" xfId="0" applyFont="1" applyFill="1" applyBorder="1"/>
    <xf numFmtId="0" fontId="5" fillId="4" borderId="44" xfId="0" applyFont="1" applyFill="1" applyBorder="1"/>
    <xf numFmtId="0" fontId="4" fillId="0" borderId="28" xfId="0" applyFont="1" applyBorder="1"/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4" fillId="0" borderId="46" xfId="0" applyFont="1" applyBorder="1"/>
    <xf numFmtId="0" fontId="8" fillId="5" borderId="42" xfId="0" applyFont="1" applyFill="1" applyBorder="1" applyAlignment="1">
      <alignment horizontal="center" vertical="center"/>
    </xf>
    <xf numFmtId="0" fontId="8" fillId="5" borderId="43" xfId="0" applyFont="1" applyFill="1" applyBorder="1" applyAlignment="1">
      <alignment vertical="center"/>
    </xf>
    <xf numFmtId="0" fontId="8" fillId="5" borderId="44" xfId="0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42" xfId="0" applyFont="1" applyBorder="1" applyAlignment="1">
      <alignment horizontal="center" vertical="center"/>
    </xf>
    <xf numFmtId="0" fontId="5" fillId="3" borderId="5" xfId="0" applyFont="1" applyFill="1" applyBorder="1"/>
    <xf numFmtId="0" fontId="9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8" fillId="2" borderId="42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8" fillId="4" borderId="43" xfId="0" applyFont="1" applyFill="1" applyBorder="1" applyAlignment="1">
      <alignment vertical="center"/>
    </xf>
    <xf numFmtId="0" fontId="8" fillId="4" borderId="44" xfId="0" applyFont="1" applyFill="1" applyBorder="1" applyAlignment="1">
      <alignment vertical="center"/>
    </xf>
    <xf numFmtId="0" fontId="11" fillId="0" borderId="48" xfId="0" applyFont="1" applyBorder="1" applyAlignment="1">
      <alignment horizontal="center" vertical="center"/>
    </xf>
    <xf numFmtId="0" fontId="11" fillId="0" borderId="48" xfId="0" applyFont="1" applyBorder="1" applyAlignment="1">
      <alignment vertical="center"/>
    </xf>
    <xf numFmtId="0" fontId="5" fillId="0" borderId="49" xfId="0" applyFont="1" applyBorder="1"/>
    <xf numFmtId="0" fontId="11" fillId="0" borderId="53" xfId="0" applyFont="1" applyBorder="1" applyAlignment="1">
      <alignment horizontal="center" vertical="center"/>
    </xf>
    <xf numFmtId="0" fontId="11" fillId="0" borderId="53" xfId="0" applyFont="1" applyBorder="1" applyAlignment="1">
      <alignment vertical="center"/>
    </xf>
    <xf numFmtId="0" fontId="5" fillId="0" borderId="54" xfId="0" applyFont="1" applyBorder="1"/>
    <xf numFmtId="0" fontId="5" fillId="4" borderId="35" xfId="0" applyFont="1" applyFill="1" applyBorder="1"/>
    <xf numFmtId="0" fontId="5" fillId="4" borderId="36" xfId="0" applyFont="1" applyFill="1" applyBorder="1"/>
    <xf numFmtId="0" fontId="11" fillId="0" borderId="55" xfId="0" applyFont="1" applyBorder="1" applyAlignment="1">
      <alignment horizontal="center" vertical="center"/>
    </xf>
    <xf numFmtId="0" fontId="11" fillId="0" borderId="55" xfId="0" applyFont="1" applyBorder="1" applyAlignment="1">
      <alignment vertical="center"/>
    </xf>
    <xf numFmtId="0" fontId="5" fillId="0" borderId="56" xfId="0" applyFont="1" applyBorder="1"/>
    <xf numFmtId="0" fontId="5" fillId="0" borderId="45" xfId="0" applyFont="1" applyBorder="1"/>
    <xf numFmtId="0" fontId="5" fillId="4" borderId="40" xfId="0" applyFont="1" applyFill="1" applyBorder="1"/>
    <xf numFmtId="0" fontId="5" fillId="4" borderId="41" xfId="0" applyFont="1" applyFill="1" applyBorder="1"/>
    <xf numFmtId="0" fontId="8" fillId="0" borderId="64" xfId="0" applyFont="1" applyBorder="1" applyAlignment="1">
      <alignment vertical="center"/>
    </xf>
    <xf numFmtId="0" fontId="12" fillId="0" borderId="0" xfId="0" applyFont="1"/>
    <xf numFmtId="0" fontId="11" fillId="0" borderId="0" xfId="0" applyFont="1"/>
    <xf numFmtId="0" fontId="9" fillId="0" borderId="69" xfId="0" applyFont="1" applyBorder="1" applyAlignment="1">
      <alignment horizontal="center"/>
    </xf>
    <xf numFmtId="0" fontId="11" fillId="0" borderId="69" xfId="0" applyFont="1" applyBorder="1" applyAlignment="1">
      <alignment vertical="center"/>
    </xf>
    <xf numFmtId="0" fontId="8" fillId="0" borderId="70" xfId="0" applyFont="1" applyBorder="1"/>
    <xf numFmtId="0" fontId="8" fillId="3" borderId="71" xfId="0" applyFont="1" applyFill="1" applyBorder="1"/>
    <xf numFmtId="0" fontId="13" fillId="0" borderId="72" xfId="0" applyFont="1" applyBorder="1"/>
    <xf numFmtId="0" fontId="9" fillId="0" borderId="0" xfId="0" applyFont="1"/>
    <xf numFmtId="0" fontId="8" fillId="2" borderId="73" xfId="0" applyFont="1" applyFill="1" applyBorder="1"/>
    <xf numFmtId="0" fontId="13" fillId="0" borderId="74" xfId="0" applyFont="1" applyBorder="1"/>
    <xf numFmtId="0" fontId="8" fillId="4" borderId="73" xfId="0" applyFont="1" applyFill="1" applyBorder="1"/>
    <xf numFmtId="0" fontId="5" fillId="0" borderId="75" xfId="0" applyFont="1" applyBorder="1"/>
    <xf numFmtId="0" fontId="14" fillId="0" borderId="76" xfId="0" applyFont="1" applyBorder="1"/>
    <xf numFmtId="41" fontId="5" fillId="0" borderId="0" xfId="1" applyFont="1"/>
    <xf numFmtId="0" fontId="8" fillId="4" borderId="0" xfId="0" applyFont="1" applyFill="1"/>
    <xf numFmtId="0" fontId="8" fillId="4" borderId="45" xfId="0" applyFont="1" applyFill="1" applyBorder="1"/>
    <xf numFmtId="0" fontId="8" fillId="3" borderId="0" xfId="0" applyFont="1" applyFill="1"/>
    <xf numFmtId="0" fontId="13" fillId="0" borderId="0" xfId="0" applyFont="1"/>
    <xf numFmtId="0" fontId="14" fillId="0" borderId="0" xfId="0" applyFont="1"/>
    <xf numFmtId="0" fontId="15" fillId="3" borderId="0" xfId="0" applyFont="1" applyFill="1"/>
    <xf numFmtId="0" fontId="8" fillId="3" borderId="39" xfId="0" applyFont="1" applyFill="1" applyBorder="1" applyAlignment="1">
      <alignment horizontal="center" vertical="center"/>
    </xf>
    <xf numFmtId="0" fontId="8" fillId="3" borderId="40" xfId="0" applyFont="1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11" fillId="0" borderId="50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0" fontId="11" fillId="0" borderId="52" xfId="0" applyFont="1" applyBorder="1" applyAlignment="1">
      <alignment horizontal="left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11" fillId="0" borderId="66" xfId="0" applyFont="1" applyBorder="1" applyAlignment="1">
      <alignment horizontal="left" vertical="center"/>
    </xf>
    <xf numFmtId="0" fontId="11" fillId="0" borderId="67" xfId="0" applyFont="1" applyBorder="1" applyAlignment="1">
      <alignment horizontal="left" vertical="center"/>
    </xf>
    <xf numFmtId="0" fontId="11" fillId="0" borderId="68" xfId="0" applyFont="1" applyBorder="1" applyAlignment="1">
      <alignment horizontal="left" vertical="center"/>
    </xf>
    <xf numFmtId="0" fontId="8" fillId="3" borderId="30" xfId="0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/>
    </xf>
    <xf numFmtId="0" fontId="8" fillId="3" borderId="37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36" xfId="0" applyFont="1" applyFill="1" applyBorder="1" applyAlignment="1">
      <alignment horizontal="center" vertical="center"/>
    </xf>
    <xf numFmtId="0" fontId="11" fillId="0" borderId="29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1" fillId="0" borderId="63" xfId="0" applyFont="1" applyBorder="1" applyAlignment="1">
      <alignment horizontal="left" vertical="center" wrapText="1"/>
    </xf>
    <xf numFmtId="0" fontId="11" fillId="0" borderId="55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 wrapText="1"/>
    </xf>
    <xf numFmtId="0" fontId="11" fillId="0" borderId="56" xfId="0" applyFont="1" applyBorder="1" applyAlignment="1">
      <alignment horizontal="center" vertical="center" wrapText="1"/>
    </xf>
    <xf numFmtId="0" fontId="11" fillId="0" borderId="29" xfId="0" applyFont="1" applyBorder="1" applyAlignment="1">
      <alignment horizontal="left" vertical="center"/>
    </xf>
    <xf numFmtId="0" fontId="11" fillId="0" borderId="57" xfId="0" applyFont="1" applyBorder="1" applyAlignment="1">
      <alignment horizontal="left" vertical="center" wrapText="1"/>
    </xf>
    <xf numFmtId="0" fontId="11" fillId="0" borderId="58" xfId="0" applyFont="1" applyBorder="1" applyAlignment="1">
      <alignment horizontal="left" vertical="center" wrapText="1"/>
    </xf>
    <xf numFmtId="0" fontId="11" fillId="0" borderId="59" xfId="0" applyFont="1" applyBorder="1" applyAlignment="1">
      <alignment horizontal="left" vertical="center" wrapText="1"/>
    </xf>
    <xf numFmtId="0" fontId="11" fillId="0" borderId="50" xfId="0" applyFont="1" applyBorder="1" applyAlignment="1">
      <alignment horizontal="left" vertical="center"/>
    </xf>
    <xf numFmtId="0" fontId="11" fillId="0" borderId="51" xfId="0" applyFont="1" applyBorder="1" applyAlignment="1">
      <alignment horizontal="left" vertical="center"/>
    </xf>
    <xf numFmtId="0" fontId="11" fillId="0" borderId="52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left" vertical="center" wrapText="1"/>
    </xf>
    <xf numFmtId="0" fontId="11" fillId="0" borderId="61" xfId="0" applyFont="1" applyBorder="1" applyAlignment="1">
      <alignment horizontal="left" vertical="center" wrapText="1"/>
    </xf>
    <xf numFmtId="0" fontId="11" fillId="0" borderId="62" xfId="0" applyFont="1" applyBorder="1" applyAlignment="1">
      <alignment horizontal="left" vertical="center" wrapText="1"/>
    </xf>
    <xf numFmtId="0" fontId="11" fillId="0" borderId="56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11" fillId="0" borderId="30" xfId="0" applyFont="1" applyBorder="1" applyAlignment="1">
      <alignment horizontal="left" vertical="center"/>
    </xf>
    <xf numFmtId="0" fontId="11" fillId="0" borderId="31" xfId="0" applyFont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5" fillId="0" borderId="2" xfId="0" applyFont="1" applyBorder="1"/>
  </cellXfs>
  <cellStyles count="2">
    <cellStyle name="Ko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5F78E-2AA1-47B8-AA64-BF86FF3AC2E1}">
  <sheetPr>
    <pageSetUpPr fitToPage="1"/>
  </sheetPr>
  <dimension ref="A1:AU101"/>
  <sheetViews>
    <sheetView tabSelected="1" topLeftCell="B1" zoomScale="40" zoomScaleNormal="40" zoomScaleSheetLayoutView="40" workbookViewId="0">
      <selection activeCell="K39" sqref="K39"/>
    </sheetView>
  </sheetViews>
  <sheetFormatPr defaultColWidth="9" defaultRowHeight="14.25"/>
  <cols>
    <col min="1" max="1" width="3.42578125" style="1" customWidth="1"/>
    <col min="2" max="2" width="3.85546875" style="2" customWidth="1"/>
    <col min="3" max="3" width="15.140625" style="2" customWidth="1"/>
    <col min="4" max="4" width="53.28515625" style="2" customWidth="1"/>
    <col min="5" max="5" width="27.5703125" style="2" customWidth="1"/>
    <col min="6" max="6" width="9.5703125" style="2" customWidth="1"/>
    <col min="7" max="7" width="6.7109375" style="2" customWidth="1"/>
    <col min="8" max="8" width="6" style="2" customWidth="1"/>
    <col min="9" max="9" width="10.85546875" style="2" customWidth="1"/>
    <col min="10" max="10" width="10.7109375" style="2" customWidth="1"/>
    <col min="11" max="11" width="14" style="2" customWidth="1"/>
    <col min="12" max="12" width="64.85546875" style="2" customWidth="1"/>
    <col min="13" max="13" width="6.140625" style="2" customWidth="1"/>
    <col min="14" max="14" width="5" style="2" customWidth="1"/>
    <col min="15" max="15" width="10.85546875" style="2" customWidth="1"/>
    <col min="16" max="16" width="9" style="2"/>
    <col min="17" max="17" width="9.42578125" style="2" customWidth="1"/>
    <col min="18" max="18" width="8.5703125" style="2" customWidth="1"/>
    <col min="19" max="19" width="14.140625" style="2" customWidth="1"/>
    <col min="20" max="20" width="53.85546875" style="2" customWidth="1"/>
    <col min="21" max="21" width="6.28515625" style="2" customWidth="1"/>
    <col min="22" max="22" width="5.42578125" style="2" customWidth="1"/>
    <col min="23" max="23" width="10.7109375" style="2" customWidth="1"/>
    <col min="24" max="24" width="15.28515625" style="2" customWidth="1"/>
    <col min="25" max="25" width="17.140625" style="2" customWidth="1"/>
    <col min="26" max="26" width="14.7109375" style="2" customWidth="1"/>
    <col min="27" max="27" width="45.28515625" style="2" customWidth="1"/>
    <col min="28" max="28" width="6.5703125" style="2" customWidth="1"/>
    <col min="29" max="29" width="5.7109375" style="2" customWidth="1"/>
    <col min="30" max="30" width="9" style="2"/>
    <col min="31" max="31" width="5.85546875" style="2" customWidth="1"/>
    <col min="32" max="32" width="9" style="2"/>
    <col min="33" max="33" width="14.85546875" style="2" customWidth="1"/>
    <col min="34" max="34" width="57.85546875" style="2" customWidth="1"/>
    <col min="35" max="35" width="5.140625" style="2" customWidth="1"/>
    <col min="36" max="36" width="6" style="2" customWidth="1"/>
    <col min="37" max="16384" width="9" style="1"/>
  </cols>
  <sheetData>
    <row r="1" spans="1:36">
      <c r="A1" s="240" t="s">
        <v>0</v>
      </c>
      <c r="B1" s="241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</row>
    <row r="2" spans="1:36">
      <c r="A2" s="240"/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1"/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1"/>
      <c r="AJ2" s="241"/>
    </row>
    <row r="3" spans="1:36">
      <c r="A3" s="240"/>
      <c r="B3" s="241"/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  <c r="AA3" s="241"/>
      <c r="AB3" s="241"/>
      <c r="AC3" s="241"/>
      <c r="AD3" s="241"/>
      <c r="AE3" s="241"/>
      <c r="AF3" s="241"/>
      <c r="AG3" s="241"/>
      <c r="AH3" s="241"/>
      <c r="AI3" s="241"/>
      <c r="AJ3" s="241"/>
    </row>
    <row r="4" spans="1:36">
      <c r="A4" s="240"/>
      <c r="B4" s="241"/>
      <c r="C4" s="241"/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</row>
    <row r="5" spans="1:36">
      <c r="A5" s="240"/>
      <c r="B5" s="241"/>
      <c r="C5" s="241"/>
      <c r="D5" s="241"/>
      <c r="E5" s="241"/>
      <c r="F5" s="241"/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  <c r="AA5" s="241"/>
      <c r="AB5" s="241"/>
      <c r="AC5" s="241"/>
      <c r="AD5" s="241"/>
      <c r="AE5" s="241"/>
      <c r="AF5" s="241"/>
      <c r="AG5" s="241"/>
      <c r="AH5" s="241"/>
      <c r="AI5" s="241"/>
      <c r="AJ5" s="241"/>
    </row>
    <row r="6" spans="1:36" ht="4.9000000000000004" customHeight="1" thickBo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4"/>
      <c r="AG6" s="3"/>
      <c r="AH6" s="3"/>
      <c r="AI6" s="3"/>
      <c r="AJ6" s="3"/>
    </row>
    <row r="7" spans="1:36" ht="31.15" customHeight="1" thickBot="1">
      <c r="B7" s="5"/>
      <c r="C7" s="6"/>
      <c r="D7" s="6"/>
      <c r="E7" s="6"/>
      <c r="F7" s="6"/>
      <c r="G7" s="6"/>
      <c r="H7" s="6"/>
      <c r="I7" s="6"/>
      <c r="J7" s="6"/>
      <c r="K7" s="6"/>
      <c r="L7" s="7"/>
      <c r="M7" s="7"/>
      <c r="N7" s="7"/>
      <c r="O7" s="7"/>
      <c r="P7" s="225" t="s">
        <v>1</v>
      </c>
      <c r="Q7" s="226"/>
      <c r="R7" s="226"/>
      <c r="S7" s="226"/>
      <c r="T7" s="227"/>
      <c r="U7" s="7"/>
      <c r="V7" s="7"/>
      <c r="W7" s="8"/>
      <c r="X7" s="8"/>
      <c r="Y7" s="8"/>
      <c r="Z7" s="8"/>
      <c r="AA7" s="8"/>
      <c r="AB7" s="8"/>
      <c r="AC7" s="8"/>
      <c r="AD7" s="8"/>
      <c r="AE7" s="8"/>
      <c r="AF7" s="8"/>
      <c r="AG7" s="6"/>
      <c r="AH7" s="6"/>
      <c r="AI7" s="6"/>
      <c r="AJ7" s="6"/>
    </row>
    <row r="8" spans="1:36" ht="34.5" thickBot="1">
      <c r="B8" s="5"/>
      <c r="C8" s="6"/>
      <c r="D8" s="6"/>
      <c r="E8" s="6"/>
      <c r="F8" s="6"/>
      <c r="G8" s="6"/>
      <c r="H8" s="6"/>
      <c r="I8" s="6"/>
      <c r="J8" s="6"/>
      <c r="K8" s="6"/>
      <c r="L8" s="7"/>
      <c r="M8" s="7"/>
      <c r="N8" s="7"/>
      <c r="O8" s="7"/>
      <c r="P8" s="242" t="s">
        <v>2</v>
      </c>
      <c r="Q8" s="243"/>
      <c r="R8" s="243"/>
      <c r="S8" s="243"/>
      <c r="T8" s="244"/>
      <c r="U8" s="7"/>
      <c r="V8" s="7"/>
      <c r="W8" s="8"/>
      <c r="X8" s="8"/>
      <c r="Y8" s="8"/>
      <c r="Z8" s="8"/>
      <c r="AA8" s="8"/>
      <c r="AB8" s="8"/>
      <c r="AC8" s="8"/>
      <c r="AD8" s="8"/>
      <c r="AE8" s="8"/>
      <c r="AF8" s="6"/>
      <c r="AG8" s="245"/>
      <c r="AH8" s="245"/>
      <c r="AI8" s="245"/>
      <c r="AJ8" s="245"/>
    </row>
    <row r="9" spans="1:36" ht="34.5" thickBot="1">
      <c r="B9" s="5"/>
      <c r="C9" s="6"/>
      <c r="D9" s="6"/>
      <c r="E9" s="6"/>
      <c r="F9" s="6"/>
      <c r="G9" s="6"/>
      <c r="H9" s="6"/>
      <c r="I9" s="6"/>
      <c r="J9" s="6"/>
      <c r="K9" s="6"/>
      <c r="L9" s="7"/>
      <c r="M9" s="7"/>
      <c r="N9" s="7"/>
      <c r="O9" s="7"/>
      <c r="P9" s="10"/>
      <c r="Q9" s="10"/>
      <c r="R9" s="10"/>
      <c r="S9" s="11"/>
      <c r="T9" s="10"/>
      <c r="U9" s="7"/>
      <c r="V9" s="7"/>
      <c r="W9" s="8"/>
      <c r="X9" s="8"/>
      <c r="Y9" s="8"/>
      <c r="Z9" s="246"/>
      <c r="AA9" s="246"/>
      <c r="AB9" s="246"/>
      <c r="AC9" s="246"/>
      <c r="AD9" s="8"/>
      <c r="AE9" s="8"/>
      <c r="AF9" s="6"/>
      <c r="AG9" s="8"/>
      <c r="AH9" s="8"/>
      <c r="AI9" s="8"/>
      <c r="AJ9" s="8"/>
    </row>
    <row r="10" spans="1:36" ht="34.5" thickBot="1">
      <c r="B10" s="5"/>
      <c r="C10" s="6"/>
      <c r="D10" s="6"/>
      <c r="E10" s="6"/>
      <c r="F10" s="6"/>
      <c r="G10" s="6"/>
      <c r="H10" s="6"/>
      <c r="I10" s="6"/>
      <c r="J10" s="6"/>
      <c r="M10" s="6"/>
      <c r="N10" s="6"/>
      <c r="O10" s="6"/>
      <c r="P10" s="6"/>
      <c r="Q10" s="6"/>
      <c r="R10" s="6"/>
      <c r="S10" s="12"/>
      <c r="T10" s="13"/>
      <c r="U10" s="14"/>
      <c r="V10" s="14"/>
      <c r="W10" s="14"/>
      <c r="X10" s="14"/>
      <c r="Y10" s="14"/>
      <c r="Z10" s="247" t="s">
        <v>3</v>
      </c>
      <c r="AA10" s="246"/>
      <c r="AB10" s="246"/>
      <c r="AC10" s="248"/>
      <c r="AD10" s="6"/>
      <c r="AE10" s="6"/>
      <c r="AF10" s="6"/>
      <c r="AG10" s="6"/>
      <c r="AH10" s="6"/>
      <c r="AI10" s="6"/>
      <c r="AJ10" s="6"/>
    </row>
    <row r="11" spans="1:36" ht="35.25" thickTop="1" thickBot="1">
      <c r="B11" s="5"/>
      <c r="C11" s="6"/>
      <c r="D11" s="6"/>
      <c r="E11" s="6"/>
      <c r="F11" s="6"/>
      <c r="G11" s="6"/>
      <c r="H11" s="6"/>
      <c r="I11" s="6"/>
      <c r="J11" s="6"/>
      <c r="M11" s="6"/>
      <c r="N11" s="6"/>
      <c r="O11" s="6"/>
      <c r="P11" s="6"/>
      <c r="Q11" s="6"/>
      <c r="R11" s="6"/>
      <c r="S11" s="12"/>
      <c r="T11" s="6"/>
      <c r="U11" s="6"/>
      <c r="V11" s="6"/>
      <c r="W11" s="6"/>
      <c r="X11" s="6"/>
      <c r="Y11" s="6"/>
      <c r="Z11" s="237" t="s">
        <v>4</v>
      </c>
      <c r="AA11" s="238"/>
      <c r="AB11" s="238"/>
      <c r="AC11" s="239"/>
      <c r="AD11" s="6"/>
      <c r="AE11" s="6"/>
      <c r="AF11" s="6"/>
      <c r="AG11" s="8"/>
      <c r="AH11" s="8"/>
      <c r="AI11" s="8"/>
      <c r="AJ11" s="8"/>
    </row>
    <row r="12" spans="1:36" ht="33.75">
      <c r="B12" s="5"/>
      <c r="C12" s="6"/>
      <c r="D12" s="6"/>
      <c r="E12" s="6"/>
      <c r="F12" s="6"/>
      <c r="G12" s="6"/>
      <c r="H12" s="6"/>
      <c r="I12" s="6"/>
      <c r="J12" s="6"/>
      <c r="M12" s="6"/>
      <c r="N12" s="6"/>
      <c r="O12" s="6"/>
      <c r="P12" s="6"/>
      <c r="Q12" s="6"/>
      <c r="R12" s="6"/>
      <c r="S12" s="12"/>
      <c r="T12" s="6"/>
      <c r="U12" s="6"/>
      <c r="V12" s="6"/>
      <c r="W12" s="6"/>
      <c r="X12" s="6"/>
      <c r="Y12" s="6"/>
      <c r="Z12" s="15"/>
      <c r="AA12" s="15"/>
      <c r="AB12" s="15"/>
      <c r="AC12" s="15"/>
      <c r="AD12" s="6"/>
      <c r="AE12" s="6"/>
      <c r="AF12" s="6"/>
      <c r="AG12" s="8"/>
      <c r="AH12" s="8"/>
      <c r="AI12" s="8"/>
      <c r="AJ12" s="8"/>
    </row>
    <row r="13" spans="1:36" ht="33.75">
      <c r="B13" s="5"/>
      <c r="C13" s="6"/>
      <c r="D13" s="6"/>
      <c r="E13" s="6"/>
      <c r="F13" s="6"/>
      <c r="G13" s="6"/>
      <c r="H13" s="6"/>
      <c r="I13" s="6"/>
      <c r="J13" s="6"/>
      <c r="M13" s="6"/>
      <c r="N13" s="6"/>
      <c r="O13" s="6"/>
      <c r="P13" s="6"/>
      <c r="Q13" s="6"/>
      <c r="R13" s="6"/>
      <c r="S13" s="12"/>
      <c r="T13" s="6"/>
      <c r="U13" s="6"/>
      <c r="V13" s="6"/>
      <c r="W13" s="6"/>
      <c r="X13" s="6"/>
      <c r="Y13" s="6"/>
      <c r="Z13" s="15"/>
      <c r="AA13" s="15"/>
      <c r="AB13" s="15"/>
      <c r="AC13" s="15"/>
      <c r="AD13" s="6"/>
      <c r="AE13" s="6"/>
      <c r="AF13" s="6"/>
      <c r="AG13" s="8"/>
      <c r="AH13" s="8"/>
      <c r="AI13" s="8"/>
      <c r="AJ13" s="8"/>
    </row>
    <row r="14" spans="1:36" ht="33.75">
      <c r="B14" s="5"/>
      <c r="C14" s="6"/>
      <c r="D14" s="6"/>
      <c r="E14" s="6"/>
      <c r="F14" s="6"/>
      <c r="G14" s="6"/>
      <c r="H14" s="6"/>
      <c r="I14" s="6"/>
      <c r="J14" s="6"/>
      <c r="M14" s="6"/>
      <c r="N14" s="6"/>
      <c r="O14" s="6"/>
      <c r="P14" s="6"/>
      <c r="Q14" s="6"/>
      <c r="R14" s="6"/>
      <c r="S14" s="12"/>
      <c r="T14" s="6"/>
      <c r="U14" s="6"/>
      <c r="V14" s="6"/>
      <c r="W14" s="6"/>
      <c r="X14" s="6"/>
      <c r="Y14" s="6"/>
      <c r="Z14" s="15"/>
      <c r="AA14" s="15"/>
      <c r="AB14" s="15"/>
      <c r="AC14" s="15"/>
      <c r="AD14" s="6"/>
      <c r="AE14" s="6"/>
      <c r="AF14" s="6"/>
      <c r="AG14" s="8"/>
      <c r="AH14" s="8"/>
      <c r="AI14" s="8"/>
      <c r="AJ14" s="8"/>
    </row>
    <row r="15" spans="1:36" ht="33.75">
      <c r="B15" s="5"/>
      <c r="C15" s="6"/>
      <c r="D15" s="6"/>
      <c r="E15" s="6"/>
      <c r="F15" s="6"/>
      <c r="G15" s="6"/>
      <c r="H15" s="6"/>
      <c r="I15" s="6"/>
      <c r="J15" s="6"/>
      <c r="M15" s="6"/>
      <c r="N15" s="6"/>
      <c r="O15" s="6"/>
      <c r="P15" s="6"/>
      <c r="Q15" s="6"/>
      <c r="R15" s="6"/>
      <c r="S15" s="12"/>
      <c r="T15" s="6"/>
      <c r="U15" s="6"/>
      <c r="V15" s="6"/>
      <c r="W15" s="6"/>
      <c r="X15" s="6"/>
      <c r="Y15" s="6"/>
      <c r="Z15" s="15"/>
      <c r="AA15" s="15"/>
      <c r="AB15" s="15"/>
      <c r="AC15" s="15"/>
      <c r="AD15" s="6"/>
      <c r="AE15" s="6"/>
      <c r="AF15" s="6"/>
      <c r="AG15" s="8"/>
      <c r="AH15" s="8"/>
      <c r="AI15" s="8"/>
      <c r="AJ15" s="8"/>
    </row>
    <row r="16" spans="1:36" ht="33.75" thickBot="1">
      <c r="B16" s="5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16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6"/>
      <c r="AI16" s="6"/>
      <c r="AJ16" s="6"/>
    </row>
    <row r="17" spans="2:47" ht="18" customHeight="1" thickTop="1" thickBot="1">
      <c r="B17" s="5"/>
      <c r="C17" s="6"/>
      <c r="D17" s="6"/>
      <c r="E17" s="17"/>
      <c r="F17" s="18"/>
      <c r="G17" s="19"/>
      <c r="H17" s="19"/>
      <c r="I17" s="19"/>
      <c r="J17" s="18"/>
      <c r="K17" s="18"/>
      <c r="L17" s="20"/>
      <c r="M17" s="19"/>
      <c r="N17" s="19"/>
      <c r="O17" s="19"/>
      <c r="P17" s="19"/>
      <c r="Q17" s="19"/>
      <c r="R17" s="19"/>
      <c r="S17" s="21"/>
      <c r="T17" s="6"/>
      <c r="U17" s="6"/>
      <c r="V17" s="6"/>
      <c r="W17" s="6"/>
      <c r="X17" s="6"/>
      <c r="Y17" s="6"/>
      <c r="Z17" s="22"/>
      <c r="AA17" s="6"/>
      <c r="AB17" s="6"/>
      <c r="AC17" s="6"/>
      <c r="AD17" s="6"/>
      <c r="AE17" s="6"/>
      <c r="AF17" s="6"/>
      <c r="AG17" s="22"/>
      <c r="AH17" s="23"/>
      <c r="AI17" s="19"/>
      <c r="AJ17" s="19"/>
      <c r="AK17" s="24"/>
      <c r="AL17" s="24"/>
      <c r="AM17" s="24"/>
      <c r="AN17" s="24"/>
      <c r="AO17" s="25"/>
    </row>
    <row r="18" spans="2:47" ht="100.9" customHeight="1" thickBot="1">
      <c r="B18" s="5"/>
      <c r="C18" s="225" t="s">
        <v>5</v>
      </c>
      <c r="D18" s="226"/>
      <c r="E18" s="226"/>
      <c r="F18" s="227"/>
      <c r="G18" s="6"/>
      <c r="H18" s="6"/>
      <c r="I18" s="225" t="s">
        <v>6</v>
      </c>
      <c r="J18" s="226"/>
      <c r="K18" s="226"/>
      <c r="L18" s="227"/>
      <c r="M18" s="6"/>
      <c r="N18" s="6"/>
      <c r="O18" s="218" t="s">
        <v>7</v>
      </c>
      <c r="P18" s="219"/>
      <c r="Q18" s="219"/>
      <c r="R18" s="219"/>
      <c r="S18" s="219"/>
      <c r="T18" s="220"/>
      <c r="U18" s="6"/>
      <c r="V18" s="6"/>
      <c r="W18" s="218" t="s">
        <v>8</v>
      </c>
      <c r="X18" s="219"/>
      <c r="Y18" s="219"/>
      <c r="Z18" s="219"/>
      <c r="AA18" s="220"/>
      <c r="AB18" s="6"/>
      <c r="AC18" s="6"/>
      <c r="AD18" s="218" t="s">
        <v>9</v>
      </c>
      <c r="AE18" s="219"/>
      <c r="AF18" s="219"/>
      <c r="AG18" s="219"/>
      <c r="AH18" s="220"/>
      <c r="AI18" s="6"/>
      <c r="AJ18" s="6"/>
      <c r="AK18" s="218" t="s">
        <v>10</v>
      </c>
      <c r="AL18" s="219"/>
      <c r="AM18" s="219"/>
      <c r="AN18" s="219"/>
      <c r="AO18" s="219"/>
      <c r="AP18" s="219"/>
      <c r="AQ18" s="219"/>
      <c r="AR18" s="219"/>
      <c r="AS18" s="219"/>
      <c r="AT18" s="220"/>
      <c r="AU18" s="26"/>
    </row>
    <row r="19" spans="2:47" ht="34.5" thickBot="1">
      <c r="B19" s="5"/>
      <c r="C19" s="225" t="s">
        <v>11</v>
      </c>
      <c r="D19" s="226"/>
      <c r="E19" s="226"/>
      <c r="F19" s="227"/>
      <c r="G19" s="6"/>
      <c r="H19" s="6"/>
      <c r="I19" s="225" t="s">
        <v>12</v>
      </c>
      <c r="J19" s="226"/>
      <c r="K19" s="226"/>
      <c r="L19" s="227"/>
      <c r="M19" s="6"/>
      <c r="N19" s="6"/>
      <c r="O19" s="225" t="s">
        <v>13</v>
      </c>
      <c r="P19" s="226"/>
      <c r="Q19" s="226"/>
      <c r="R19" s="226"/>
      <c r="S19" s="226"/>
      <c r="T19" s="227"/>
      <c r="U19" s="6"/>
      <c r="V19" s="6"/>
      <c r="W19" s="225" t="s">
        <v>14</v>
      </c>
      <c r="X19" s="226"/>
      <c r="Y19" s="226"/>
      <c r="Z19" s="226"/>
      <c r="AA19" s="227"/>
      <c r="AB19" s="6"/>
      <c r="AC19" s="6"/>
      <c r="AD19" s="225" t="s">
        <v>15</v>
      </c>
      <c r="AE19" s="226"/>
      <c r="AF19" s="226"/>
      <c r="AG19" s="226"/>
      <c r="AH19" s="227"/>
      <c r="AI19" s="6"/>
      <c r="AJ19" s="6"/>
      <c r="AK19" s="225" t="s">
        <v>16</v>
      </c>
      <c r="AL19" s="226"/>
      <c r="AM19" s="226"/>
      <c r="AN19" s="226"/>
      <c r="AO19" s="226"/>
      <c r="AP19" s="226"/>
      <c r="AQ19" s="226"/>
      <c r="AR19" s="226"/>
      <c r="AS19" s="226"/>
      <c r="AT19" s="27"/>
    </row>
    <row r="20" spans="2:47" ht="33.75" thickBot="1">
      <c r="B20" s="28"/>
      <c r="C20" s="29"/>
      <c r="D20" s="29"/>
      <c r="E20" s="30"/>
      <c r="F20" s="31"/>
      <c r="G20" s="6"/>
      <c r="H20" s="14"/>
      <c r="I20" s="32"/>
      <c r="J20" s="32"/>
      <c r="K20" s="33"/>
      <c r="L20" s="31"/>
      <c r="M20" s="6"/>
      <c r="N20" s="14"/>
      <c r="O20" s="29"/>
      <c r="P20" s="32"/>
      <c r="Q20" s="32"/>
      <c r="R20" s="29"/>
      <c r="S20" s="16"/>
      <c r="T20" s="6"/>
      <c r="U20" s="6"/>
      <c r="V20" s="14"/>
      <c r="W20" s="32"/>
      <c r="X20" s="32"/>
      <c r="Y20" s="32"/>
      <c r="Z20" s="33"/>
      <c r="AA20" s="6"/>
      <c r="AB20" s="6"/>
      <c r="AC20" s="14"/>
      <c r="AD20" s="32"/>
      <c r="AE20" s="32"/>
      <c r="AF20" s="32"/>
      <c r="AG20" s="32"/>
      <c r="AH20" s="34"/>
      <c r="AI20" s="6"/>
      <c r="AJ20" s="14"/>
      <c r="AK20" s="35"/>
      <c r="AL20" s="35"/>
      <c r="AM20" s="35"/>
      <c r="AN20" s="35"/>
      <c r="AO20" s="30"/>
    </row>
    <row r="21" spans="2:47" ht="34.5" thickTop="1" thickBot="1">
      <c r="B21" s="36"/>
      <c r="C21" s="6"/>
      <c r="D21" s="37"/>
      <c r="E21" s="37"/>
      <c r="F21" s="37"/>
      <c r="G21" s="6"/>
      <c r="H21" s="23"/>
      <c r="I21" s="37"/>
      <c r="J21" s="37"/>
      <c r="K21" s="37"/>
      <c r="L21" s="37"/>
      <c r="M21" s="6"/>
      <c r="N21" s="38"/>
      <c r="O21" s="6"/>
      <c r="P21" s="6"/>
      <c r="Q21" s="6"/>
      <c r="R21" s="6"/>
      <c r="S21" s="6"/>
      <c r="T21" s="6"/>
      <c r="U21" s="6"/>
      <c r="V21" s="38"/>
      <c r="W21" s="6"/>
      <c r="X21" s="6"/>
      <c r="Y21" s="6"/>
      <c r="Z21" s="6"/>
      <c r="AA21" s="6"/>
      <c r="AB21" s="6"/>
      <c r="AC21" s="38"/>
      <c r="AD21" s="6"/>
      <c r="AE21" s="6"/>
      <c r="AF21" s="6"/>
      <c r="AG21" s="6"/>
      <c r="AH21" s="6"/>
      <c r="AI21" s="6"/>
      <c r="AJ21" s="23"/>
      <c r="AO21" s="39"/>
      <c r="AP21" s="39"/>
    </row>
    <row r="22" spans="2:47" ht="67.150000000000006" customHeight="1" thickBot="1">
      <c r="B22" s="40"/>
      <c r="C22" s="218" t="s">
        <v>17</v>
      </c>
      <c r="D22" s="219"/>
      <c r="E22" s="219"/>
      <c r="F22" s="220"/>
      <c r="G22" s="6"/>
      <c r="H22" s="41"/>
      <c r="I22" s="218" t="s">
        <v>18</v>
      </c>
      <c r="J22" s="219"/>
      <c r="K22" s="219"/>
      <c r="L22" s="220"/>
      <c r="M22" s="6"/>
      <c r="N22" s="41"/>
      <c r="O22" s="218" t="s">
        <v>19</v>
      </c>
      <c r="P22" s="219"/>
      <c r="Q22" s="219"/>
      <c r="R22" s="219"/>
      <c r="S22" s="219"/>
      <c r="T22" s="220"/>
      <c r="U22" s="6"/>
      <c r="V22" s="41"/>
      <c r="W22" s="218" t="s">
        <v>20</v>
      </c>
      <c r="X22" s="219"/>
      <c r="Y22" s="219"/>
      <c r="Z22" s="219"/>
      <c r="AA22" s="220"/>
      <c r="AB22" s="6"/>
      <c r="AC22" s="41"/>
      <c r="AD22" s="218" t="s">
        <v>21</v>
      </c>
      <c r="AE22" s="219"/>
      <c r="AF22" s="219"/>
      <c r="AG22" s="219"/>
      <c r="AH22" s="220"/>
      <c r="AI22" s="6"/>
      <c r="AJ22" s="13"/>
      <c r="AK22" s="225" t="s">
        <v>22</v>
      </c>
      <c r="AL22" s="226"/>
      <c r="AM22" s="226"/>
      <c r="AN22" s="226"/>
      <c r="AO22" s="226"/>
      <c r="AP22" s="226"/>
      <c r="AQ22" s="226"/>
      <c r="AR22" s="226"/>
      <c r="AS22" s="226"/>
      <c r="AT22" s="227"/>
    </row>
    <row r="23" spans="2:47" ht="35.25" thickTop="1" thickBot="1">
      <c r="B23" s="42"/>
      <c r="C23" s="225" t="s">
        <v>23</v>
      </c>
      <c r="D23" s="226"/>
      <c r="E23" s="226"/>
      <c r="F23" s="227"/>
      <c r="G23" s="6"/>
      <c r="H23" s="43"/>
      <c r="I23" s="225" t="s">
        <v>24</v>
      </c>
      <c r="J23" s="226"/>
      <c r="K23" s="226"/>
      <c r="L23" s="227"/>
      <c r="M23" s="6"/>
      <c r="N23" s="43"/>
      <c r="O23" s="225" t="s">
        <v>25</v>
      </c>
      <c r="P23" s="226"/>
      <c r="Q23" s="226"/>
      <c r="R23" s="226"/>
      <c r="S23" s="226"/>
      <c r="T23" s="227"/>
      <c r="U23" s="44"/>
      <c r="V23" s="38"/>
      <c r="W23" s="225" t="s">
        <v>26</v>
      </c>
      <c r="X23" s="226"/>
      <c r="Y23" s="226"/>
      <c r="Z23" s="226"/>
      <c r="AA23" s="227"/>
      <c r="AB23" s="6"/>
      <c r="AC23" s="43"/>
      <c r="AD23" s="225" t="s">
        <v>27</v>
      </c>
      <c r="AE23" s="226"/>
      <c r="AF23" s="226"/>
      <c r="AG23" s="226"/>
      <c r="AH23" s="227"/>
      <c r="AI23" s="6"/>
      <c r="AJ23" s="23"/>
      <c r="AK23" s="225" t="s">
        <v>28</v>
      </c>
      <c r="AL23" s="226"/>
      <c r="AM23" s="226"/>
      <c r="AN23" s="226"/>
      <c r="AO23" s="226"/>
      <c r="AP23" s="226"/>
      <c r="AQ23" s="226"/>
      <c r="AR23" s="226"/>
      <c r="AS23" s="226"/>
      <c r="AT23" s="227"/>
    </row>
    <row r="24" spans="2:47" ht="33">
      <c r="B24" s="45"/>
      <c r="C24" s="46">
        <v>1</v>
      </c>
      <c r="D24" s="47" t="s">
        <v>29</v>
      </c>
      <c r="E24" s="47"/>
      <c r="F24" s="48"/>
      <c r="G24" s="6"/>
      <c r="H24" s="38"/>
      <c r="I24" s="46">
        <v>1</v>
      </c>
      <c r="J24" s="47" t="s">
        <v>30</v>
      </c>
      <c r="K24" s="47"/>
      <c r="L24" s="48"/>
      <c r="M24" s="6"/>
      <c r="N24" s="38"/>
      <c r="O24" s="46">
        <v>1</v>
      </c>
      <c r="P24" s="49" t="s">
        <v>31</v>
      </c>
      <c r="Q24" s="49"/>
      <c r="R24" s="49"/>
      <c r="S24" s="49"/>
      <c r="T24" s="50"/>
      <c r="U24" s="6"/>
      <c r="V24" s="38"/>
      <c r="W24" s="46">
        <v>1</v>
      </c>
      <c r="X24" s="51" t="s">
        <v>32</v>
      </c>
      <c r="Y24" s="51"/>
      <c r="Z24" s="51"/>
      <c r="AA24" s="52"/>
      <c r="AB24" s="6"/>
      <c r="AC24" s="38"/>
      <c r="AD24" s="46">
        <v>1</v>
      </c>
      <c r="AE24" s="49" t="s">
        <v>33</v>
      </c>
      <c r="AF24" s="49"/>
      <c r="AG24" s="49"/>
      <c r="AH24" s="50"/>
      <c r="AI24" s="6"/>
      <c r="AJ24" s="38"/>
      <c r="AK24" s="46">
        <v>1</v>
      </c>
      <c r="AL24" s="49" t="s">
        <v>34</v>
      </c>
      <c r="AM24" s="49"/>
      <c r="AN24" s="50"/>
      <c r="AO24" s="49"/>
      <c r="AP24" s="49"/>
      <c r="AQ24" s="50"/>
      <c r="AR24" s="49"/>
      <c r="AS24" s="49"/>
      <c r="AT24" s="50"/>
    </row>
    <row r="25" spans="2:47" ht="33.75" thickBot="1">
      <c r="B25" s="45"/>
      <c r="C25" s="53">
        <v>2</v>
      </c>
      <c r="D25" s="54" t="s">
        <v>35</v>
      </c>
      <c r="E25" s="55"/>
      <c r="F25" s="56"/>
      <c r="G25" s="6"/>
      <c r="H25" s="38"/>
      <c r="I25" s="53">
        <v>2</v>
      </c>
      <c r="J25" s="51" t="s">
        <v>36</v>
      </c>
      <c r="K25" s="51"/>
      <c r="L25" s="52"/>
      <c r="M25" s="6"/>
      <c r="N25" s="38"/>
      <c r="O25" s="53">
        <v>2</v>
      </c>
      <c r="P25" s="51" t="s">
        <v>37</v>
      </c>
      <c r="Q25" s="51"/>
      <c r="R25" s="51"/>
      <c r="S25" s="51"/>
      <c r="T25" s="52"/>
      <c r="U25" s="6"/>
      <c r="V25" s="38"/>
      <c r="W25" s="57">
        <v>2</v>
      </c>
      <c r="X25" s="58" t="s">
        <v>38</v>
      </c>
      <c r="Y25" s="58"/>
      <c r="Z25" s="58"/>
      <c r="AA25" s="59"/>
      <c r="AB25" s="6"/>
      <c r="AC25" s="38"/>
      <c r="AD25" s="53">
        <v>2</v>
      </c>
      <c r="AE25" s="49" t="s">
        <v>39</v>
      </c>
      <c r="AF25" s="51"/>
      <c r="AG25" s="51"/>
      <c r="AH25" s="52"/>
      <c r="AI25" s="6"/>
      <c r="AJ25" s="38"/>
      <c r="AK25" s="60">
        <v>2</v>
      </c>
      <c r="AL25" s="61" t="s">
        <v>40</v>
      </c>
      <c r="AM25" s="61"/>
      <c r="AN25" s="61"/>
      <c r="AO25" s="62"/>
      <c r="AP25" s="63"/>
      <c r="AQ25" s="63"/>
      <c r="AR25" s="63"/>
      <c r="AS25" s="63"/>
      <c r="AT25" s="64"/>
    </row>
    <row r="26" spans="2:47" ht="33.75" thickBot="1">
      <c r="B26" s="45"/>
      <c r="C26" s="57">
        <v>3</v>
      </c>
      <c r="D26" s="58" t="s">
        <v>41</v>
      </c>
      <c r="E26" s="65"/>
      <c r="F26" s="66"/>
      <c r="G26" s="6"/>
      <c r="H26" s="38"/>
      <c r="I26" s="53">
        <v>3</v>
      </c>
      <c r="J26" s="51" t="s">
        <v>42</v>
      </c>
      <c r="K26" s="51"/>
      <c r="L26" s="52"/>
      <c r="M26" s="6"/>
      <c r="N26" s="38"/>
      <c r="O26" s="67">
        <v>3</v>
      </c>
      <c r="P26" s="65" t="s">
        <v>43</v>
      </c>
      <c r="Q26" s="65"/>
      <c r="R26" s="65"/>
      <c r="S26" s="65"/>
      <c r="T26" s="66"/>
      <c r="U26" s="6"/>
      <c r="V26" s="38"/>
      <c r="W26" s="57">
        <v>3</v>
      </c>
      <c r="X26" s="68" t="s">
        <v>44</v>
      </c>
      <c r="Y26" s="68"/>
      <c r="Z26" s="68"/>
      <c r="AA26" s="69"/>
      <c r="AB26" s="6"/>
      <c r="AC26" s="38"/>
      <c r="AD26" s="53">
        <v>3</v>
      </c>
      <c r="AE26" s="51" t="s">
        <v>45</v>
      </c>
      <c r="AF26" s="51"/>
      <c r="AG26" s="51"/>
      <c r="AH26" s="52"/>
      <c r="AI26" s="6"/>
      <c r="AJ26" s="38"/>
    </row>
    <row r="27" spans="2:47" ht="34.5" thickBot="1">
      <c r="B27" s="70"/>
      <c r="C27" s="71">
        <v>4</v>
      </c>
      <c r="D27" s="72" t="s">
        <v>46</v>
      </c>
      <c r="E27" s="72"/>
      <c r="F27" s="73"/>
      <c r="G27" s="6"/>
      <c r="H27" s="38"/>
      <c r="I27" s="74">
        <v>4</v>
      </c>
      <c r="J27" s="75" t="s">
        <v>47</v>
      </c>
      <c r="K27" s="75"/>
      <c r="L27" s="76"/>
      <c r="M27" s="6"/>
      <c r="N27" s="38"/>
      <c r="O27" s="67">
        <v>4</v>
      </c>
      <c r="P27" s="65" t="s">
        <v>48</v>
      </c>
      <c r="Q27" s="65"/>
      <c r="R27" s="65"/>
      <c r="S27" s="65"/>
      <c r="T27" s="66"/>
      <c r="U27" s="6"/>
      <c r="V27" s="38"/>
      <c r="W27" s="57">
        <v>4</v>
      </c>
      <c r="X27" s="68" t="s">
        <v>49</v>
      </c>
      <c r="Y27" s="68"/>
      <c r="Z27" s="68"/>
      <c r="AA27" s="69"/>
      <c r="AB27" s="6"/>
      <c r="AC27" s="38"/>
      <c r="AD27" s="53">
        <v>4</v>
      </c>
      <c r="AE27" s="54" t="s">
        <v>50</v>
      </c>
      <c r="AF27" s="54"/>
      <c r="AG27" s="54"/>
      <c r="AH27" s="77"/>
      <c r="AI27" s="6"/>
      <c r="AJ27" s="13"/>
      <c r="AK27" s="225" t="s">
        <v>51</v>
      </c>
      <c r="AL27" s="226"/>
      <c r="AM27" s="226"/>
      <c r="AN27" s="226"/>
      <c r="AO27" s="226"/>
      <c r="AP27" s="226"/>
      <c r="AQ27" s="226"/>
      <c r="AR27" s="226"/>
      <c r="AS27" s="226"/>
      <c r="AT27" s="227"/>
    </row>
    <row r="28" spans="2:47" ht="34.5" thickBot="1">
      <c r="B28" s="70"/>
      <c r="C28" s="71">
        <v>5</v>
      </c>
      <c r="D28" s="72" t="s">
        <v>52</v>
      </c>
      <c r="E28" s="72"/>
      <c r="F28" s="73"/>
      <c r="G28" s="6"/>
      <c r="H28" s="38"/>
      <c r="I28" s="78"/>
      <c r="J28" s="78"/>
      <c r="K28" s="78"/>
      <c r="L28" s="78"/>
      <c r="M28" s="6"/>
      <c r="N28" s="38"/>
      <c r="O28" s="67">
        <v>5</v>
      </c>
      <c r="P28" s="65" t="s">
        <v>53</v>
      </c>
      <c r="Q28" s="65"/>
      <c r="R28" s="65"/>
      <c r="S28" s="65"/>
      <c r="T28" s="66"/>
      <c r="U28" s="6"/>
      <c r="V28" s="38"/>
      <c r="W28" s="57">
        <v>5</v>
      </c>
      <c r="X28" s="58" t="s">
        <v>54</v>
      </c>
      <c r="Y28" s="58"/>
      <c r="Z28" s="58"/>
      <c r="AA28" s="59"/>
      <c r="AB28" s="6"/>
      <c r="AC28" s="38"/>
      <c r="AD28" s="67">
        <v>5</v>
      </c>
      <c r="AE28" s="58" t="s">
        <v>55</v>
      </c>
      <c r="AF28" s="58"/>
      <c r="AG28" s="58"/>
      <c r="AH28" s="59"/>
      <c r="AI28" s="6"/>
      <c r="AJ28" s="6"/>
      <c r="AK28" s="225" t="s">
        <v>56</v>
      </c>
      <c r="AL28" s="226"/>
      <c r="AM28" s="226"/>
      <c r="AN28" s="226"/>
      <c r="AO28" s="226"/>
      <c r="AP28" s="226"/>
      <c r="AQ28" s="226"/>
      <c r="AR28" s="226"/>
      <c r="AS28" s="226"/>
      <c r="AT28" s="227"/>
    </row>
    <row r="29" spans="2:47" ht="34.5" thickBot="1">
      <c r="B29" s="70"/>
      <c r="C29" s="71">
        <v>6</v>
      </c>
      <c r="D29" s="72" t="s">
        <v>57</v>
      </c>
      <c r="E29" s="72"/>
      <c r="F29" s="73"/>
      <c r="G29" s="6"/>
      <c r="H29" s="41"/>
      <c r="I29" s="218" t="s">
        <v>58</v>
      </c>
      <c r="J29" s="219"/>
      <c r="K29" s="219"/>
      <c r="L29" s="220"/>
      <c r="M29" s="6"/>
      <c r="N29" s="79"/>
      <c r="O29" s="67">
        <v>6</v>
      </c>
      <c r="P29" s="65" t="s">
        <v>59</v>
      </c>
      <c r="Q29" s="65"/>
      <c r="R29" s="65"/>
      <c r="S29" s="65"/>
      <c r="T29" s="66"/>
      <c r="U29" s="6"/>
      <c r="V29" s="38"/>
      <c r="W29" s="80">
        <v>6</v>
      </c>
      <c r="X29" s="81" t="s">
        <v>60</v>
      </c>
      <c r="Y29" s="81"/>
      <c r="Z29" s="81"/>
      <c r="AA29" s="82"/>
      <c r="AB29" s="6"/>
      <c r="AC29" s="38"/>
      <c r="AD29" s="67">
        <v>6</v>
      </c>
      <c r="AE29" s="58" t="s">
        <v>61</v>
      </c>
      <c r="AF29" s="58"/>
      <c r="AG29" s="58"/>
      <c r="AH29" s="59"/>
      <c r="AI29" s="6"/>
      <c r="AJ29" s="6"/>
      <c r="AK29" s="46">
        <v>1</v>
      </c>
      <c r="AL29" s="49" t="s">
        <v>62</v>
      </c>
      <c r="AM29" s="49"/>
      <c r="AN29" s="50"/>
      <c r="AO29" s="49"/>
      <c r="AP29" s="49"/>
      <c r="AQ29" s="49"/>
      <c r="AR29" s="47"/>
      <c r="AS29" s="49"/>
      <c r="AT29" s="50"/>
    </row>
    <row r="30" spans="2:47" ht="35.25" customHeight="1" thickTop="1" thickBot="1">
      <c r="B30" s="45"/>
      <c r="C30" s="83">
        <v>7</v>
      </c>
      <c r="D30" s="84" t="s">
        <v>63</v>
      </c>
      <c r="E30" s="84"/>
      <c r="F30" s="85"/>
      <c r="G30" s="6"/>
      <c r="H30" s="43"/>
      <c r="I30" s="225" t="s">
        <v>64</v>
      </c>
      <c r="J30" s="226"/>
      <c r="K30" s="226"/>
      <c r="L30" s="227"/>
      <c r="M30" s="6"/>
      <c r="N30" s="79"/>
      <c r="O30" s="67">
        <v>7</v>
      </c>
      <c r="P30" s="68" t="s">
        <v>65</v>
      </c>
      <c r="Q30" s="86"/>
      <c r="R30" s="86"/>
      <c r="S30" s="86"/>
      <c r="T30" s="87"/>
      <c r="U30" s="6"/>
      <c r="V30" s="38"/>
      <c r="W30" s="88">
        <v>7</v>
      </c>
      <c r="X30" s="84" t="s">
        <v>66</v>
      </c>
      <c r="Y30" s="84"/>
      <c r="Z30" s="84"/>
      <c r="AA30" s="85"/>
      <c r="AB30" s="6"/>
      <c r="AC30" s="79"/>
      <c r="AD30" s="67">
        <v>7</v>
      </c>
      <c r="AE30" s="89" t="s">
        <v>67</v>
      </c>
      <c r="AF30" s="89"/>
      <c r="AG30" s="89"/>
      <c r="AH30" s="90"/>
      <c r="AI30" s="6"/>
      <c r="AJ30" s="6"/>
      <c r="AK30" s="60">
        <v>2</v>
      </c>
      <c r="AL30" s="61" t="s">
        <v>68</v>
      </c>
      <c r="AM30" s="63"/>
      <c r="AN30" s="63"/>
      <c r="AO30" s="63"/>
      <c r="AP30" s="63"/>
      <c r="AQ30" s="63"/>
      <c r="AR30" s="63"/>
      <c r="AS30" s="63"/>
      <c r="AT30" s="64"/>
    </row>
    <row r="31" spans="2:47" ht="33.75" customHeight="1" thickBot="1">
      <c r="B31" s="45"/>
      <c r="C31" s="91"/>
      <c r="G31" s="6"/>
      <c r="H31" s="38"/>
      <c r="I31" s="92">
        <v>1</v>
      </c>
      <c r="J31" s="93" t="s">
        <v>69</v>
      </c>
      <c r="K31" s="93"/>
      <c r="L31" s="94"/>
      <c r="M31" s="6"/>
      <c r="N31" s="79"/>
      <c r="O31" s="95">
        <v>8</v>
      </c>
      <c r="P31" s="81" t="s">
        <v>70</v>
      </c>
      <c r="Q31" s="81"/>
      <c r="R31" s="81"/>
      <c r="S31" s="81"/>
      <c r="T31" s="82"/>
      <c r="U31" s="6"/>
      <c r="V31" s="38"/>
      <c r="AB31" s="6"/>
      <c r="AC31" s="79"/>
      <c r="AD31" s="67">
        <v>8</v>
      </c>
      <c r="AE31" s="89" t="s">
        <v>71</v>
      </c>
      <c r="AF31" s="89"/>
      <c r="AG31" s="89"/>
      <c r="AH31" s="90"/>
      <c r="AI31" s="6"/>
      <c r="AJ31" s="6"/>
    </row>
    <row r="32" spans="2:47" ht="34.5" thickBot="1">
      <c r="B32" s="79"/>
      <c r="C32" s="218" t="s">
        <v>72</v>
      </c>
      <c r="D32" s="219"/>
      <c r="E32" s="219"/>
      <c r="F32" s="220"/>
      <c r="G32" s="6"/>
      <c r="H32" s="38"/>
      <c r="I32" s="96">
        <v>2</v>
      </c>
      <c r="J32" s="97" t="s">
        <v>73</v>
      </c>
      <c r="K32" s="97"/>
      <c r="L32" s="98"/>
      <c r="M32" s="6"/>
      <c r="N32" s="79"/>
      <c r="O32" s="95">
        <v>9</v>
      </c>
      <c r="P32" s="81" t="s">
        <v>74</v>
      </c>
      <c r="Q32" s="81"/>
      <c r="R32" s="81"/>
      <c r="S32" s="81"/>
      <c r="T32" s="82"/>
      <c r="U32" s="6"/>
      <c r="V32" s="41"/>
      <c r="W32" s="225" t="s">
        <v>75</v>
      </c>
      <c r="X32" s="226"/>
      <c r="Y32" s="226"/>
      <c r="Z32" s="226"/>
      <c r="AA32" s="227"/>
      <c r="AB32" s="6"/>
      <c r="AC32" s="99"/>
      <c r="AD32" s="100">
        <v>9</v>
      </c>
      <c r="AE32" s="72" t="s">
        <v>76</v>
      </c>
      <c r="AF32" s="72"/>
      <c r="AG32" s="72"/>
      <c r="AH32" s="73"/>
      <c r="AI32" s="6"/>
      <c r="AJ32" s="6"/>
    </row>
    <row r="33" spans="2:39" ht="34.5" customHeight="1" thickBot="1">
      <c r="B33" s="40"/>
      <c r="C33" s="225" t="s">
        <v>77</v>
      </c>
      <c r="D33" s="226"/>
      <c r="E33" s="226"/>
      <c r="F33" s="227"/>
      <c r="G33" s="6"/>
      <c r="H33" s="101"/>
      <c r="I33" s="1"/>
      <c r="J33" s="1"/>
      <c r="K33" s="1"/>
      <c r="L33" s="1"/>
      <c r="M33" s="6"/>
      <c r="N33" s="38"/>
      <c r="O33" s="102">
        <v>10</v>
      </c>
      <c r="P33" s="84" t="s">
        <v>78</v>
      </c>
      <c r="Q33" s="84"/>
      <c r="R33" s="84"/>
      <c r="S33" s="84"/>
      <c r="T33" s="85"/>
      <c r="U33" s="6"/>
      <c r="V33" s="38"/>
      <c r="W33" s="225" t="s">
        <v>79</v>
      </c>
      <c r="X33" s="226"/>
      <c r="Y33" s="226"/>
      <c r="Z33" s="226"/>
      <c r="AA33" s="227"/>
      <c r="AC33" s="70"/>
      <c r="AD33" s="100">
        <v>10</v>
      </c>
      <c r="AE33" s="72" t="s">
        <v>80</v>
      </c>
      <c r="AF33" s="72"/>
      <c r="AG33" s="72"/>
      <c r="AH33" s="73"/>
      <c r="AI33" s="6"/>
      <c r="AJ33" s="6"/>
    </row>
    <row r="34" spans="2:39" ht="33.75" customHeight="1" thickTop="1" thickBot="1">
      <c r="B34" s="45"/>
      <c r="C34" s="103">
        <v>1</v>
      </c>
      <c r="D34" s="51" t="s">
        <v>81</v>
      </c>
      <c r="E34" s="51"/>
      <c r="F34" s="52"/>
      <c r="G34" s="6"/>
      <c r="H34" s="41"/>
      <c r="I34" s="218" t="s">
        <v>82</v>
      </c>
      <c r="J34" s="219"/>
      <c r="K34" s="219"/>
      <c r="L34" s="220"/>
      <c r="M34" s="6"/>
      <c r="N34" s="38"/>
      <c r="U34" s="6"/>
      <c r="V34" s="70"/>
      <c r="W34" s="46">
        <v>1</v>
      </c>
      <c r="X34" s="104" t="s">
        <v>83</v>
      </c>
      <c r="Y34" s="105"/>
      <c r="Z34" s="105"/>
      <c r="AA34" s="106"/>
      <c r="AB34" s="6"/>
      <c r="AC34" s="79"/>
      <c r="AD34" s="100">
        <v>11</v>
      </c>
      <c r="AE34" s="72" t="s">
        <v>84</v>
      </c>
      <c r="AF34" s="72"/>
      <c r="AG34" s="72"/>
      <c r="AH34" s="73"/>
      <c r="AI34" s="6"/>
      <c r="AJ34" s="6"/>
    </row>
    <row r="35" spans="2:39" ht="34.5" customHeight="1" thickTop="1" thickBot="1">
      <c r="B35" s="45"/>
      <c r="C35" s="57">
        <v>2</v>
      </c>
      <c r="D35" s="65" t="s">
        <v>85</v>
      </c>
      <c r="E35" s="65"/>
      <c r="F35" s="66"/>
      <c r="G35" s="6"/>
      <c r="H35" s="43"/>
      <c r="I35" s="225" t="s">
        <v>86</v>
      </c>
      <c r="J35" s="226"/>
      <c r="K35" s="226"/>
      <c r="L35" s="227"/>
      <c r="M35" s="6"/>
      <c r="N35" s="41"/>
      <c r="O35" s="218" t="s">
        <v>87</v>
      </c>
      <c r="P35" s="219"/>
      <c r="Q35" s="219"/>
      <c r="R35" s="219"/>
      <c r="S35" s="219"/>
      <c r="T35" s="220"/>
      <c r="U35" s="6"/>
      <c r="V35" s="70"/>
      <c r="W35" s="53">
        <v>2</v>
      </c>
      <c r="X35" s="49" t="s">
        <v>88</v>
      </c>
      <c r="Y35" s="49"/>
      <c r="Z35" s="49"/>
      <c r="AA35" s="50"/>
      <c r="AB35" s="6"/>
      <c r="AC35" s="79"/>
      <c r="AD35" s="100">
        <v>12</v>
      </c>
      <c r="AE35" s="72" t="s">
        <v>89</v>
      </c>
      <c r="AF35" s="72"/>
      <c r="AG35" s="72"/>
      <c r="AH35" s="73"/>
      <c r="AI35" s="6"/>
      <c r="AJ35" s="6"/>
    </row>
    <row r="36" spans="2:39" ht="34.5" customHeight="1" thickBot="1">
      <c r="B36" s="45"/>
      <c r="C36" s="57">
        <v>3</v>
      </c>
      <c r="D36" s="65" t="s">
        <v>90</v>
      </c>
      <c r="E36" s="65"/>
      <c r="F36" s="66"/>
      <c r="G36" s="6"/>
      <c r="H36" s="38"/>
      <c r="I36" s="103">
        <v>1</v>
      </c>
      <c r="J36" s="49" t="s">
        <v>91</v>
      </c>
      <c r="K36" s="107"/>
      <c r="L36" s="108"/>
      <c r="M36" s="6"/>
      <c r="N36" s="43"/>
      <c r="O36" s="225" t="s">
        <v>92</v>
      </c>
      <c r="P36" s="226"/>
      <c r="Q36" s="226"/>
      <c r="R36" s="226"/>
      <c r="S36" s="226"/>
      <c r="T36" s="227"/>
      <c r="U36" s="6"/>
      <c r="V36" s="38"/>
      <c r="W36" s="53">
        <v>3</v>
      </c>
      <c r="X36" s="51" t="s">
        <v>93</v>
      </c>
      <c r="Y36" s="51"/>
      <c r="Z36" s="109"/>
      <c r="AA36" s="52"/>
      <c r="AB36" s="6"/>
      <c r="AC36" s="79"/>
      <c r="AD36" s="100">
        <v>13</v>
      </c>
      <c r="AE36" s="72" t="s">
        <v>94</v>
      </c>
      <c r="AF36" s="72"/>
      <c r="AG36" s="72"/>
      <c r="AH36" s="73"/>
      <c r="AI36" s="6"/>
      <c r="AJ36" s="6"/>
    </row>
    <row r="37" spans="2:39" ht="35.25" customHeight="1">
      <c r="B37" s="45"/>
      <c r="C37" s="57">
        <v>4</v>
      </c>
      <c r="D37" s="65" t="s">
        <v>95</v>
      </c>
      <c r="E37" s="65"/>
      <c r="F37" s="66"/>
      <c r="G37" s="6"/>
      <c r="H37" s="38"/>
      <c r="I37" s="103">
        <v>2</v>
      </c>
      <c r="J37" s="51" t="s">
        <v>96</v>
      </c>
      <c r="K37" s="49"/>
      <c r="L37" s="50"/>
      <c r="M37" s="6"/>
      <c r="N37" s="79"/>
      <c r="O37" s="53">
        <v>1</v>
      </c>
      <c r="P37" s="51" t="s">
        <v>97</v>
      </c>
      <c r="Q37" s="51"/>
      <c r="R37" s="51"/>
      <c r="S37" s="51"/>
      <c r="T37" s="52"/>
      <c r="U37" s="6"/>
      <c r="V37" s="38"/>
      <c r="W37" s="53">
        <v>4</v>
      </c>
      <c r="X37" s="51" t="s">
        <v>98</v>
      </c>
      <c r="Y37" s="51"/>
      <c r="Z37" s="51"/>
      <c r="AA37" s="52"/>
      <c r="AB37" s="6"/>
      <c r="AC37" s="79"/>
      <c r="AD37" s="100">
        <v>14</v>
      </c>
      <c r="AE37" s="72" t="s">
        <v>99</v>
      </c>
      <c r="AF37" s="72"/>
      <c r="AG37" s="72"/>
      <c r="AH37" s="73"/>
      <c r="AI37" s="6"/>
      <c r="AJ37" s="6"/>
      <c r="AM37" s="7"/>
    </row>
    <row r="38" spans="2:39" ht="35.25" customHeight="1">
      <c r="B38" s="45"/>
      <c r="C38" s="71">
        <v>5</v>
      </c>
      <c r="D38" s="72" t="s">
        <v>100</v>
      </c>
      <c r="E38" s="72"/>
      <c r="F38" s="73"/>
      <c r="G38" s="6"/>
      <c r="H38" s="38"/>
      <c r="I38" s="103">
        <v>3</v>
      </c>
      <c r="J38" s="51" t="s">
        <v>101</v>
      </c>
      <c r="K38" s="51"/>
      <c r="L38" s="52"/>
      <c r="M38" s="6"/>
      <c r="N38" s="79"/>
      <c r="O38" s="53">
        <v>2</v>
      </c>
      <c r="P38" s="51" t="s">
        <v>102</v>
      </c>
      <c r="Q38" s="109"/>
      <c r="R38" s="51"/>
      <c r="S38" s="51"/>
      <c r="T38" s="52"/>
      <c r="U38" s="6"/>
      <c r="V38" s="38"/>
      <c r="W38" s="53">
        <v>5</v>
      </c>
      <c r="X38" s="51" t="s">
        <v>103</v>
      </c>
      <c r="Y38" s="51"/>
      <c r="Z38" s="51"/>
      <c r="AA38" s="52"/>
      <c r="AB38" s="6"/>
      <c r="AC38" s="79"/>
      <c r="AD38" s="100">
        <v>15</v>
      </c>
      <c r="AE38" s="72" t="s">
        <v>104</v>
      </c>
      <c r="AF38" s="72"/>
      <c r="AG38" s="72"/>
      <c r="AH38" s="73"/>
      <c r="AI38" s="6"/>
      <c r="AJ38" s="6"/>
      <c r="AM38" s="7"/>
    </row>
    <row r="39" spans="2:39" ht="33.75" customHeight="1">
      <c r="B39" s="79"/>
      <c r="C39" s="71">
        <v>6</v>
      </c>
      <c r="D39" s="81" t="s">
        <v>105</v>
      </c>
      <c r="E39" s="81"/>
      <c r="F39" s="82"/>
      <c r="G39" s="6"/>
      <c r="H39" s="38"/>
      <c r="I39" s="103">
        <v>4</v>
      </c>
      <c r="J39" s="51" t="s">
        <v>106</v>
      </c>
      <c r="K39" s="51"/>
      <c r="L39" s="52"/>
      <c r="M39" s="6"/>
      <c r="N39" s="79"/>
      <c r="O39" s="53">
        <v>3</v>
      </c>
      <c r="P39" s="51" t="s">
        <v>107</v>
      </c>
      <c r="Q39" s="109"/>
      <c r="R39" s="51"/>
      <c r="S39" s="51"/>
      <c r="T39" s="52"/>
      <c r="U39" s="6"/>
      <c r="V39" s="38"/>
      <c r="W39" s="53">
        <v>6</v>
      </c>
      <c r="X39" s="51" t="s">
        <v>108</v>
      </c>
      <c r="Y39" s="51"/>
      <c r="Z39" s="51"/>
      <c r="AA39" s="52"/>
      <c r="AB39" s="6"/>
      <c r="AC39" s="79"/>
      <c r="AD39" s="100">
        <v>16</v>
      </c>
      <c r="AE39" s="72" t="s">
        <v>109</v>
      </c>
      <c r="AF39" s="72"/>
      <c r="AG39" s="72"/>
      <c r="AH39" s="73"/>
      <c r="AI39" s="6"/>
      <c r="AJ39" s="6"/>
    </row>
    <row r="40" spans="2:39" ht="34.5" customHeight="1" thickBot="1">
      <c r="B40" s="70"/>
      <c r="C40" s="96">
        <v>7</v>
      </c>
      <c r="D40" s="97" t="s">
        <v>110</v>
      </c>
      <c r="E40" s="97"/>
      <c r="F40" s="98"/>
      <c r="G40" s="6"/>
      <c r="H40" s="38"/>
      <c r="I40" s="103">
        <v>5</v>
      </c>
      <c r="J40" s="51" t="s">
        <v>111</v>
      </c>
      <c r="K40" s="51"/>
      <c r="L40" s="52"/>
      <c r="M40" s="6"/>
      <c r="N40" s="101"/>
      <c r="O40" s="53">
        <v>4</v>
      </c>
      <c r="P40" s="51" t="s">
        <v>112</v>
      </c>
      <c r="Q40" s="51"/>
      <c r="R40" s="51"/>
      <c r="S40" s="51"/>
      <c r="T40" s="52"/>
      <c r="U40" s="6"/>
      <c r="V40" s="38"/>
      <c r="W40" s="110">
        <v>7</v>
      </c>
      <c r="X40" s="58" t="s">
        <v>113</v>
      </c>
      <c r="Y40" s="58"/>
      <c r="Z40" s="58"/>
      <c r="AA40" s="59"/>
      <c r="AB40" s="6"/>
      <c r="AC40" s="79"/>
      <c r="AD40" s="100">
        <v>17</v>
      </c>
      <c r="AE40" s="81" t="s">
        <v>114</v>
      </c>
      <c r="AF40" s="81"/>
      <c r="AG40" s="81"/>
      <c r="AH40" s="82"/>
      <c r="AI40" s="6"/>
      <c r="AJ40" s="6"/>
    </row>
    <row r="41" spans="2:39" ht="34.5" customHeight="1" thickBot="1">
      <c r="B41" s="79"/>
      <c r="C41" s="249"/>
      <c r="G41" s="6"/>
      <c r="H41" s="38"/>
      <c r="I41" s="103">
        <v>6</v>
      </c>
      <c r="J41" s="51" t="s">
        <v>115</v>
      </c>
      <c r="K41" s="51"/>
      <c r="L41" s="52"/>
      <c r="M41" s="6"/>
      <c r="N41" s="101"/>
      <c r="O41" s="67">
        <v>5</v>
      </c>
      <c r="P41" s="65" t="s">
        <v>116</v>
      </c>
      <c r="Q41" s="65"/>
      <c r="R41" s="65"/>
      <c r="S41" s="65"/>
      <c r="T41" s="66"/>
      <c r="U41" s="6"/>
      <c r="V41" s="38"/>
      <c r="W41" s="111">
        <v>8</v>
      </c>
      <c r="X41" s="72" t="s">
        <v>117</v>
      </c>
      <c r="Y41" s="72"/>
      <c r="Z41" s="72"/>
      <c r="AA41" s="73"/>
      <c r="AB41" s="6"/>
      <c r="AC41" s="79"/>
      <c r="AD41" s="100">
        <v>18</v>
      </c>
      <c r="AE41" s="72" t="s">
        <v>118</v>
      </c>
      <c r="AF41" s="72"/>
      <c r="AG41" s="72"/>
      <c r="AH41" s="73"/>
      <c r="AI41" s="6"/>
      <c r="AJ41" s="6"/>
    </row>
    <row r="42" spans="2:39" ht="35.25" customHeight="1" thickBot="1">
      <c r="B42" s="45"/>
      <c r="C42" s="218" t="s">
        <v>119</v>
      </c>
      <c r="D42" s="219"/>
      <c r="E42" s="219"/>
      <c r="F42" s="220"/>
      <c r="G42" s="6"/>
      <c r="H42" s="38"/>
      <c r="I42" s="103">
        <v>7</v>
      </c>
      <c r="J42" s="112" t="s">
        <v>120</v>
      </c>
      <c r="K42" s="51"/>
      <c r="L42" s="52"/>
      <c r="M42" s="6"/>
      <c r="N42" s="101"/>
      <c r="O42" s="100">
        <v>6</v>
      </c>
      <c r="P42" s="72" t="s">
        <v>121</v>
      </c>
      <c r="Q42" s="113"/>
      <c r="R42" s="113"/>
      <c r="S42" s="113"/>
      <c r="T42" s="114"/>
      <c r="U42" s="6"/>
      <c r="V42" s="38"/>
      <c r="W42" s="111">
        <v>9</v>
      </c>
      <c r="X42" s="72" t="s">
        <v>122</v>
      </c>
      <c r="Y42" s="72"/>
      <c r="Z42" s="72"/>
      <c r="AA42" s="73"/>
      <c r="AB42" s="6"/>
      <c r="AC42" s="79"/>
      <c r="AD42" s="100">
        <v>19</v>
      </c>
      <c r="AE42" s="72" t="s">
        <v>123</v>
      </c>
      <c r="AF42" s="72"/>
      <c r="AG42" s="72"/>
      <c r="AH42" s="73"/>
      <c r="AI42" s="6"/>
      <c r="AJ42" s="6"/>
    </row>
    <row r="43" spans="2:39" ht="34.5" customHeight="1" thickBot="1">
      <c r="B43" s="40"/>
      <c r="C43" s="225" t="s">
        <v>124</v>
      </c>
      <c r="D43" s="226"/>
      <c r="E43" s="226"/>
      <c r="F43" s="227"/>
      <c r="G43" s="6"/>
      <c r="H43" s="38"/>
      <c r="I43" s="103">
        <v>8</v>
      </c>
      <c r="J43" s="112" t="s">
        <v>125</v>
      </c>
      <c r="K43" s="112"/>
      <c r="L43" s="115"/>
      <c r="M43" s="6"/>
      <c r="N43" s="101"/>
      <c r="O43" s="100">
        <v>7</v>
      </c>
      <c r="P43" s="72" t="s">
        <v>126</v>
      </c>
      <c r="Q43" s="113"/>
      <c r="R43" s="113"/>
      <c r="S43" s="113"/>
      <c r="T43" s="114"/>
      <c r="U43" s="6"/>
      <c r="V43" s="70"/>
      <c r="W43" s="111">
        <v>10</v>
      </c>
      <c r="X43" s="72" t="s">
        <v>127</v>
      </c>
      <c r="Y43" s="72"/>
      <c r="Z43" s="72"/>
      <c r="AA43" s="73"/>
      <c r="AB43" s="6"/>
      <c r="AC43" s="79"/>
      <c r="AD43" s="100">
        <v>20</v>
      </c>
      <c r="AE43" s="81" t="s">
        <v>128</v>
      </c>
      <c r="AF43" s="81"/>
      <c r="AG43" s="81"/>
      <c r="AH43" s="82"/>
      <c r="AI43" s="6"/>
      <c r="AJ43" s="6"/>
    </row>
    <row r="44" spans="2:39" ht="34.5" customHeight="1" thickTop="1" thickBot="1">
      <c r="B44" s="116"/>
      <c r="C44" s="117">
        <v>1</v>
      </c>
      <c r="D44" s="55" t="s">
        <v>129</v>
      </c>
      <c r="E44" s="55"/>
      <c r="F44" s="56"/>
      <c r="G44" s="6"/>
      <c r="H44" s="38"/>
      <c r="I44" s="103">
        <v>9</v>
      </c>
      <c r="J44" s="112" t="s">
        <v>130</v>
      </c>
      <c r="K44" s="112"/>
      <c r="L44" s="115"/>
      <c r="M44" s="6"/>
      <c r="N44" s="101"/>
      <c r="O44" s="100">
        <v>8</v>
      </c>
      <c r="P44" s="72" t="s">
        <v>131</v>
      </c>
      <c r="Q44" s="113"/>
      <c r="R44" s="113"/>
      <c r="S44" s="113"/>
      <c r="T44" s="114"/>
      <c r="U44" s="6"/>
      <c r="V44" s="38"/>
      <c r="W44" s="111">
        <v>11</v>
      </c>
      <c r="X44" s="72" t="s">
        <v>132</v>
      </c>
      <c r="Y44" s="72"/>
      <c r="Z44" s="72"/>
      <c r="AA44" s="73"/>
      <c r="AB44" s="6"/>
      <c r="AC44" s="79"/>
      <c r="AD44" s="95">
        <v>21</v>
      </c>
      <c r="AE44" s="81" t="s">
        <v>133</v>
      </c>
      <c r="AF44" s="81"/>
      <c r="AG44" s="81"/>
      <c r="AH44" s="82"/>
      <c r="AI44" s="6"/>
      <c r="AJ44" s="6"/>
      <c r="AM44" s="7"/>
    </row>
    <row r="45" spans="2:39" ht="33.75" customHeight="1" thickBot="1">
      <c r="B45" s="5"/>
      <c r="C45" s="67">
        <v>2</v>
      </c>
      <c r="D45" s="65" t="s">
        <v>134</v>
      </c>
      <c r="E45" s="65"/>
      <c r="F45" s="66"/>
      <c r="G45" s="6"/>
      <c r="H45" s="38"/>
      <c r="I45" s="103">
        <v>10</v>
      </c>
      <c r="J45" s="112" t="s">
        <v>135</v>
      </c>
      <c r="K45" s="112"/>
      <c r="L45" s="115"/>
      <c r="M45" s="6"/>
      <c r="N45" s="101"/>
      <c r="O45" s="100">
        <v>9</v>
      </c>
      <c r="P45" s="113" t="s">
        <v>136</v>
      </c>
      <c r="Q45" s="113"/>
      <c r="R45" s="113"/>
      <c r="S45" s="113"/>
      <c r="T45" s="114"/>
      <c r="U45" s="6"/>
      <c r="V45" s="99"/>
      <c r="W45" s="111">
        <v>12</v>
      </c>
      <c r="X45" s="72" t="s">
        <v>137</v>
      </c>
      <c r="Y45" s="72"/>
      <c r="Z45" s="72"/>
      <c r="AA45" s="73"/>
      <c r="AB45" s="6"/>
      <c r="AC45" s="79"/>
      <c r="AD45" s="118"/>
      <c r="AE45" s="119"/>
      <c r="AF45" s="119"/>
      <c r="AG45" s="119"/>
      <c r="AH45" s="119"/>
      <c r="AI45" s="6"/>
      <c r="AJ45" s="6"/>
    </row>
    <row r="46" spans="2:39" ht="34.5" customHeight="1" thickBot="1">
      <c r="B46" s="5"/>
      <c r="C46" s="67">
        <v>3</v>
      </c>
      <c r="D46" s="65" t="s">
        <v>138</v>
      </c>
      <c r="E46" s="65"/>
      <c r="F46" s="66"/>
      <c r="G46" s="6"/>
      <c r="H46" s="38"/>
      <c r="I46" s="60">
        <v>11</v>
      </c>
      <c r="J46" s="61" t="s">
        <v>139</v>
      </c>
      <c r="K46" s="61"/>
      <c r="L46" s="62"/>
      <c r="M46" s="6"/>
      <c r="N46" s="101"/>
      <c r="O46" s="100">
        <v>10</v>
      </c>
      <c r="P46" s="72" t="s">
        <v>140</v>
      </c>
      <c r="Q46" s="113"/>
      <c r="R46" s="113"/>
      <c r="S46" s="113"/>
      <c r="T46" s="114"/>
      <c r="U46" s="6"/>
      <c r="V46" s="99"/>
      <c r="W46" s="111">
        <v>13</v>
      </c>
      <c r="X46" s="72" t="s">
        <v>141</v>
      </c>
      <c r="Y46" s="72"/>
      <c r="Z46" s="72"/>
      <c r="AA46" s="73"/>
      <c r="AB46" s="6"/>
      <c r="AC46" s="38"/>
      <c r="AD46" s="228" t="s">
        <v>142</v>
      </c>
      <c r="AE46" s="229"/>
      <c r="AF46" s="229"/>
      <c r="AG46" s="229"/>
      <c r="AH46" s="230"/>
      <c r="AI46" s="6"/>
      <c r="AJ46" s="6"/>
    </row>
    <row r="47" spans="2:39" ht="34.5" customHeight="1" thickBot="1">
      <c r="B47" s="5"/>
      <c r="C47" s="67">
        <v>4</v>
      </c>
      <c r="D47" s="65" t="s">
        <v>143</v>
      </c>
      <c r="E47" s="65"/>
      <c r="F47" s="66"/>
      <c r="G47" s="6"/>
      <c r="H47" s="38"/>
      <c r="I47" s="105"/>
      <c r="J47" s="105"/>
      <c r="K47" s="105"/>
      <c r="L47" s="105"/>
      <c r="M47" s="6"/>
      <c r="N47" s="101"/>
      <c r="O47" s="102">
        <v>11</v>
      </c>
      <c r="P47" s="84" t="s">
        <v>144</v>
      </c>
      <c r="Q47" s="120"/>
      <c r="R47" s="120"/>
      <c r="S47" s="120"/>
      <c r="T47" s="121"/>
      <c r="U47" s="6"/>
      <c r="V47" s="99"/>
      <c r="W47" s="111">
        <v>14</v>
      </c>
      <c r="X47" s="81" t="s">
        <v>145</v>
      </c>
      <c r="Y47" s="72"/>
      <c r="Z47" s="72"/>
      <c r="AA47" s="73"/>
      <c r="AB47" s="6"/>
      <c r="AC47" s="41"/>
      <c r="AD47" s="231"/>
      <c r="AE47" s="232"/>
      <c r="AF47" s="232"/>
      <c r="AG47" s="232"/>
      <c r="AH47" s="233"/>
      <c r="AI47" s="6"/>
      <c r="AJ47" s="6"/>
      <c r="AM47" s="7"/>
    </row>
    <row r="48" spans="2:39" ht="34.5" customHeight="1" thickBot="1">
      <c r="B48" s="5"/>
      <c r="C48" s="102">
        <v>5</v>
      </c>
      <c r="D48" s="120" t="s">
        <v>146</v>
      </c>
      <c r="E48" s="84"/>
      <c r="F48" s="85"/>
      <c r="G48" s="6"/>
      <c r="H48" s="41"/>
      <c r="I48" s="218" t="s">
        <v>147</v>
      </c>
      <c r="J48" s="219"/>
      <c r="K48" s="219"/>
      <c r="L48" s="220"/>
      <c r="M48" s="6"/>
      <c r="N48" s="101"/>
      <c r="U48" s="6"/>
      <c r="V48" s="99"/>
      <c r="W48" s="111">
        <v>15</v>
      </c>
      <c r="X48" s="81" t="s">
        <v>148</v>
      </c>
      <c r="Y48" s="72"/>
      <c r="Z48" s="72"/>
      <c r="AA48" s="73"/>
      <c r="AB48" s="6"/>
      <c r="AC48" s="43"/>
      <c r="AD48" s="225" t="s">
        <v>149</v>
      </c>
      <c r="AE48" s="226"/>
      <c r="AF48" s="226"/>
      <c r="AG48" s="226"/>
      <c r="AH48" s="227"/>
      <c r="AI48" s="6"/>
      <c r="AJ48" s="6"/>
    </row>
    <row r="49" spans="2:36" ht="34.5" customHeight="1" thickBot="1">
      <c r="B49" s="5"/>
      <c r="G49" s="6"/>
      <c r="H49" s="122"/>
      <c r="I49" s="225" t="s">
        <v>150</v>
      </c>
      <c r="J49" s="226"/>
      <c r="K49" s="226"/>
      <c r="L49" s="227"/>
      <c r="M49" s="6"/>
      <c r="N49" s="123"/>
      <c r="O49" s="218" t="s">
        <v>151</v>
      </c>
      <c r="P49" s="219"/>
      <c r="Q49" s="219"/>
      <c r="R49" s="219"/>
      <c r="S49" s="219"/>
      <c r="T49" s="220"/>
      <c r="U49" s="6"/>
      <c r="V49" s="99"/>
      <c r="W49" s="111">
        <v>16</v>
      </c>
      <c r="X49" s="81" t="s">
        <v>152</v>
      </c>
      <c r="Y49" s="124"/>
      <c r="Z49" s="124"/>
      <c r="AA49" s="125"/>
      <c r="AB49" s="6"/>
      <c r="AC49" s="126"/>
      <c r="AD49" s="46">
        <v>1</v>
      </c>
      <c r="AE49" s="49" t="s">
        <v>153</v>
      </c>
      <c r="AF49" s="7"/>
      <c r="AG49" s="49"/>
      <c r="AH49" s="50"/>
      <c r="AI49" s="6"/>
      <c r="AJ49" s="6"/>
    </row>
    <row r="50" spans="2:36" ht="34.5" customHeight="1" thickTop="1" thickBot="1">
      <c r="B50" s="1"/>
      <c r="G50" s="6"/>
      <c r="H50" s="122"/>
      <c r="I50" s="127">
        <v>1</v>
      </c>
      <c r="J50" s="128" t="s">
        <v>154</v>
      </c>
      <c r="K50" s="128"/>
      <c r="L50" s="129"/>
      <c r="M50" s="6"/>
      <c r="N50" s="130"/>
      <c r="O50" s="225" t="s">
        <v>155</v>
      </c>
      <c r="P50" s="226"/>
      <c r="Q50" s="226"/>
      <c r="R50" s="226"/>
      <c r="S50" s="226"/>
      <c r="T50" s="227"/>
      <c r="U50" s="6"/>
      <c r="V50" s="99"/>
      <c r="W50" s="111">
        <v>17</v>
      </c>
      <c r="X50" s="81" t="s">
        <v>156</v>
      </c>
      <c r="Y50" s="124"/>
      <c r="Z50" s="124"/>
      <c r="AA50" s="125"/>
      <c r="AB50" s="6"/>
      <c r="AC50" s="38"/>
      <c r="AD50" s="53">
        <v>2</v>
      </c>
      <c r="AE50" s="51" t="s">
        <v>157</v>
      </c>
      <c r="AF50" s="51"/>
      <c r="AG50" s="51"/>
      <c r="AH50" s="52"/>
      <c r="AI50" s="6"/>
      <c r="AJ50" s="6"/>
    </row>
    <row r="51" spans="2:36" ht="33.75" customHeight="1" thickBot="1">
      <c r="G51" s="6"/>
      <c r="I51" s="131">
        <v>2</v>
      </c>
      <c r="J51" s="132" t="s">
        <v>158</v>
      </c>
      <c r="K51" s="132"/>
      <c r="L51" s="133"/>
      <c r="M51" s="6"/>
      <c r="N51" s="126"/>
      <c r="O51" s="46">
        <v>1</v>
      </c>
      <c r="P51" s="51" t="s">
        <v>159</v>
      </c>
      <c r="Q51" s="109"/>
      <c r="R51" s="51"/>
      <c r="S51" s="51"/>
      <c r="T51" s="52"/>
      <c r="U51" s="6"/>
      <c r="V51" s="99"/>
      <c r="W51" s="80">
        <v>18</v>
      </c>
      <c r="X51" s="81" t="s">
        <v>160</v>
      </c>
      <c r="Y51" s="124"/>
      <c r="Z51" s="124"/>
      <c r="AA51" s="125"/>
      <c r="AB51" s="6"/>
      <c r="AC51" s="38"/>
      <c r="AD51" s="67">
        <v>3</v>
      </c>
      <c r="AE51" s="65" t="s">
        <v>161</v>
      </c>
      <c r="AF51" s="65"/>
      <c r="AG51" s="65"/>
      <c r="AH51" s="66"/>
      <c r="AI51" s="6"/>
      <c r="AJ51" s="6"/>
    </row>
    <row r="52" spans="2:36" ht="34.5" customHeight="1" thickBot="1">
      <c r="C52" s="134"/>
      <c r="D52" s="135"/>
      <c r="E52" s="135"/>
      <c r="F52" s="135"/>
      <c r="G52" s="6"/>
      <c r="H52" s="1"/>
      <c r="I52" s="88">
        <v>3</v>
      </c>
      <c r="J52" s="84" t="s">
        <v>162</v>
      </c>
      <c r="K52" s="84"/>
      <c r="L52" s="85"/>
      <c r="M52" s="6"/>
      <c r="N52" s="126"/>
      <c r="O52" s="136">
        <v>2</v>
      </c>
      <c r="P52" s="51" t="s">
        <v>163</v>
      </c>
      <c r="Q52" s="51"/>
      <c r="R52" s="51"/>
      <c r="S52" s="51"/>
      <c r="T52" s="52"/>
      <c r="U52" s="6"/>
      <c r="V52" s="79"/>
      <c r="W52" s="91"/>
      <c r="X52" s="137"/>
      <c r="Y52" s="137"/>
      <c r="Z52" s="137"/>
      <c r="AA52" s="137"/>
      <c r="AB52" s="6"/>
      <c r="AC52" s="38"/>
      <c r="AD52" s="100">
        <v>4</v>
      </c>
      <c r="AE52" s="72" t="s">
        <v>166</v>
      </c>
      <c r="AF52" s="72"/>
      <c r="AG52" s="72"/>
      <c r="AH52" s="73"/>
      <c r="AI52" s="6"/>
      <c r="AJ52" s="6"/>
    </row>
    <row r="53" spans="2:36" ht="33.75" customHeight="1">
      <c r="B53" s="5"/>
      <c r="C53" s="138"/>
      <c r="D53" s="9"/>
      <c r="E53" s="9"/>
      <c r="F53" s="9"/>
      <c r="G53" s="6"/>
      <c r="M53" s="6"/>
      <c r="N53" s="126"/>
      <c r="O53" s="53">
        <v>3</v>
      </c>
      <c r="P53" s="55" t="s">
        <v>164</v>
      </c>
      <c r="Q53" s="55"/>
      <c r="R53" s="55"/>
      <c r="S53" s="55"/>
      <c r="T53" s="56"/>
      <c r="U53" s="6"/>
      <c r="V53" s="38"/>
      <c r="W53" s="228" t="s">
        <v>165</v>
      </c>
      <c r="X53" s="229"/>
      <c r="Y53" s="229"/>
      <c r="Z53" s="229"/>
      <c r="AA53" s="230"/>
      <c r="AB53" s="6"/>
      <c r="AC53" s="79"/>
      <c r="AD53" s="100">
        <v>5</v>
      </c>
      <c r="AE53" s="72" t="s">
        <v>168</v>
      </c>
      <c r="AF53" s="72"/>
      <c r="AG53" s="72"/>
      <c r="AH53" s="73"/>
      <c r="AI53" s="6"/>
      <c r="AJ53" s="6"/>
    </row>
    <row r="54" spans="2:36" ht="35.25" customHeight="1" thickBot="1">
      <c r="B54" s="5"/>
      <c r="C54" s="15"/>
      <c r="G54" s="6"/>
      <c r="M54" s="6"/>
      <c r="N54" s="126"/>
      <c r="O54" s="67">
        <v>4</v>
      </c>
      <c r="P54" s="65" t="s">
        <v>167</v>
      </c>
      <c r="Q54" s="65"/>
      <c r="R54" s="65"/>
      <c r="S54" s="65"/>
      <c r="T54" s="66"/>
      <c r="U54" s="6"/>
      <c r="V54" s="13"/>
      <c r="W54" s="231"/>
      <c r="X54" s="232"/>
      <c r="Y54" s="232"/>
      <c r="Z54" s="232"/>
      <c r="AA54" s="233"/>
      <c r="AB54" s="6"/>
      <c r="AC54" s="70"/>
      <c r="AD54" s="100">
        <v>6</v>
      </c>
      <c r="AE54" s="72" t="s">
        <v>171</v>
      </c>
      <c r="AF54" s="72"/>
      <c r="AG54" s="72"/>
      <c r="AH54" s="73"/>
      <c r="AI54" s="7"/>
      <c r="AJ54" s="7"/>
    </row>
    <row r="55" spans="2:36" ht="33.75" customHeight="1" thickTop="1" thickBot="1">
      <c r="B55" s="5"/>
      <c r="C55" s="15"/>
      <c r="G55" s="6"/>
      <c r="M55" s="6"/>
      <c r="N55" s="126"/>
      <c r="O55" s="67">
        <v>5</v>
      </c>
      <c r="P55" s="65" t="s">
        <v>169</v>
      </c>
      <c r="Q55" s="65"/>
      <c r="R55" s="65"/>
      <c r="S55" s="65"/>
      <c r="T55" s="66"/>
      <c r="U55" s="6"/>
      <c r="V55" s="6"/>
      <c r="W55" s="225" t="s">
        <v>170</v>
      </c>
      <c r="X55" s="226"/>
      <c r="Y55" s="226"/>
      <c r="Z55" s="226"/>
      <c r="AA55" s="227"/>
      <c r="AB55" s="6"/>
      <c r="AC55" s="79"/>
      <c r="AD55" s="102">
        <v>7</v>
      </c>
      <c r="AE55" s="84" t="s">
        <v>174</v>
      </c>
      <c r="AF55" s="84"/>
      <c r="AG55" s="84"/>
      <c r="AH55" s="85"/>
      <c r="AI55" s="6"/>
      <c r="AJ55" s="6"/>
    </row>
    <row r="56" spans="2:36" ht="33.75" customHeight="1" thickBot="1">
      <c r="C56" s="15"/>
      <c r="G56" s="6"/>
      <c r="M56" s="6"/>
      <c r="N56" s="126"/>
      <c r="O56" s="67">
        <v>6</v>
      </c>
      <c r="P56" s="65" t="s">
        <v>172</v>
      </c>
      <c r="Q56" s="65"/>
      <c r="R56" s="65"/>
      <c r="S56" s="65"/>
      <c r="T56" s="66"/>
      <c r="U56" s="6"/>
      <c r="V56" s="6"/>
      <c r="W56" s="46">
        <v>1</v>
      </c>
      <c r="X56" s="51" t="s">
        <v>173</v>
      </c>
      <c r="Y56" s="49"/>
      <c r="Z56" s="49"/>
      <c r="AA56" s="50"/>
      <c r="AB56" s="6"/>
      <c r="AC56" s="79"/>
      <c r="AI56" s="6"/>
      <c r="AJ56" s="6"/>
    </row>
    <row r="57" spans="2:36" ht="33.75" customHeight="1" thickBot="1">
      <c r="G57" s="6"/>
      <c r="M57" s="6"/>
      <c r="N57" s="126"/>
      <c r="O57" s="100">
        <v>7</v>
      </c>
      <c r="P57" s="72" t="s">
        <v>175</v>
      </c>
      <c r="Q57" s="113"/>
      <c r="R57" s="113"/>
      <c r="S57" s="113"/>
      <c r="T57" s="114"/>
      <c r="U57" s="6"/>
      <c r="V57" s="6"/>
      <c r="W57" s="53">
        <v>2</v>
      </c>
      <c r="X57" s="54" t="s">
        <v>176</v>
      </c>
      <c r="Y57" s="55"/>
      <c r="Z57" s="55"/>
      <c r="AA57" s="56"/>
      <c r="AB57" s="6"/>
      <c r="AC57" s="41"/>
      <c r="AD57" s="218" t="s">
        <v>179</v>
      </c>
      <c r="AE57" s="219"/>
      <c r="AF57" s="219"/>
      <c r="AG57" s="219"/>
      <c r="AH57" s="220"/>
      <c r="AI57" s="6"/>
      <c r="AJ57" s="6"/>
    </row>
    <row r="58" spans="2:36" ht="34.5" customHeight="1" thickTop="1" thickBot="1">
      <c r="G58" s="6"/>
      <c r="H58" s="6"/>
      <c r="I58" s="139"/>
      <c r="J58" s="6"/>
      <c r="K58" s="6"/>
      <c r="L58" s="6"/>
      <c r="M58" s="6"/>
      <c r="N58" s="79"/>
      <c r="O58" s="100">
        <v>8</v>
      </c>
      <c r="P58" s="72" t="s">
        <v>177</v>
      </c>
      <c r="Q58" s="113"/>
      <c r="R58" s="113"/>
      <c r="S58" s="113"/>
      <c r="T58" s="114"/>
      <c r="U58" s="6"/>
      <c r="V58" s="6"/>
      <c r="W58" s="67">
        <v>3</v>
      </c>
      <c r="X58" s="58" t="s">
        <v>178</v>
      </c>
      <c r="Y58" s="65"/>
      <c r="Z58" s="65"/>
      <c r="AA58" s="66"/>
      <c r="AB58" s="6"/>
      <c r="AC58" s="19"/>
      <c r="AD58" s="225" t="s">
        <v>182</v>
      </c>
      <c r="AE58" s="226"/>
      <c r="AF58" s="226"/>
      <c r="AG58" s="226"/>
      <c r="AH58" s="227"/>
      <c r="AI58" s="6"/>
      <c r="AJ58" s="6"/>
    </row>
    <row r="59" spans="2:36" ht="33.75" customHeight="1">
      <c r="C59" s="6"/>
      <c r="D59" s="6"/>
      <c r="E59" s="6"/>
      <c r="F59" s="6"/>
      <c r="G59" s="6"/>
      <c r="M59" s="6"/>
      <c r="N59" s="38"/>
      <c r="O59" s="100">
        <v>9</v>
      </c>
      <c r="P59" s="72" t="s">
        <v>180</v>
      </c>
      <c r="Q59" s="113"/>
      <c r="R59" s="113"/>
      <c r="S59" s="113"/>
      <c r="T59" s="114"/>
      <c r="U59" s="6"/>
      <c r="V59" s="6"/>
      <c r="W59" s="67">
        <v>4</v>
      </c>
      <c r="X59" s="58" t="s">
        <v>181</v>
      </c>
      <c r="Y59" s="65"/>
      <c r="Z59" s="65"/>
      <c r="AA59" s="66"/>
      <c r="AB59" s="6"/>
      <c r="AC59" s="1"/>
      <c r="AD59" s="46">
        <v>1</v>
      </c>
      <c r="AE59" s="47" t="s">
        <v>185</v>
      </c>
      <c r="AF59" s="49"/>
      <c r="AG59" s="49"/>
      <c r="AH59" s="50"/>
      <c r="AI59" s="6"/>
      <c r="AJ59" s="6"/>
    </row>
    <row r="60" spans="2:36" ht="33" customHeight="1">
      <c r="C60" s="6"/>
      <c r="D60" s="6"/>
      <c r="E60" s="6"/>
      <c r="F60" s="140"/>
      <c r="G60" s="6"/>
      <c r="H60" s="6"/>
      <c r="I60" s="139"/>
      <c r="J60" s="6"/>
      <c r="K60" s="6"/>
      <c r="L60" s="6"/>
      <c r="M60" s="6"/>
      <c r="N60" s="38"/>
      <c r="O60" s="100">
        <v>10</v>
      </c>
      <c r="P60" s="72" t="s">
        <v>183</v>
      </c>
      <c r="Q60" s="113"/>
      <c r="R60" s="113"/>
      <c r="S60" s="113"/>
      <c r="T60" s="114"/>
      <c r="U60" s="6"/>
      <c r="V60" s="6"/>
      <c r="W60" s="67">
        <v>5</v>
      </c>
      <c r="X60" s="58" t="s">
        <v>184</v>
      </c>
      <c r="Y60" s="65"/>
      <c r="Z60" s="65"/>
      <c r="AA60" s="66"/>
      <c r="AB60" s="6"/>
      <c r="AC60" s="6"/>
      <c r="AD60" s="141">
        <v>2</v>
      </c>
      <c r="AE60" s="89" t="s">
        <v>188</v>
      </c>
      <c r="AF60" s="89"/>
      <c r="AG60" s="89"/>
      <c r="AH60" s="90"/>
      <c r="AI60" s="6"/>
      <c r="AJ60" s="6"/>
    </row>
    <row r="61" spans="2:36" ht="33.75" customHeight="1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38"/>
      <c r="O61" s="100">
        <v>11</v>
      </c>
      <c r="P61" s="72" t="s">
        <v>186</v>
      </c>
      <c r="Q61" s="113"/>
      <c r="R61" s="113"/>
      <c r="S61" s="113"/>
      <c r="T61" s="114"/>
      <c r="U61" s="6"/>
      <c r="V61" s="6"/>
      <c r="W61" s="67">
        <v>6</v>
      </c>
      <c r="X61" s="58" t="s">
        <v>187</v>
      </c>
      <c r="Y61" s="65"/>
      <c r="Z61" s="65"/>
      <c r="AA61" s="66"/>
      <c r="AB61" s="6"/>
      <c r="AC61" s="6"/>
      <c r="AD61" s="141">
        <v>3</v>
      </c>
      <c r="AE61" s="89" t="s">
        <v>191</v>
      </c>
      <c r="AF61" s="89"/>
      <c r="AG61" s="89"/>
      <c r="AH61" s="90"/>
      <c r="AI61" s="6"/>
      <c r="AJ61" s="6"/>
    </row>
    <row r="62" spans="2:36" ht="33.75" customHeight="1" thickBot="1">
      <c r="C62" s="7"/>
      <c r="L62" s="142"/>
      <c r="M62" s="6"/>
      <c r="N62" s="38"/>
      <c r="O62" s="100">
        <v>12</v>
      </c>
      <c r="P62" s="81" t="s">
        <v>189</v>
      </c>
      <c r="Q62" s="143"/>
      <c r="R62" s="143"/>
      <c r="S62" s="143"/>
      <c r="T62" s="144"/>
      <c r="U62" s="6"/>
      <c r="V62" s="6"/>
      <c r="W62" s="67">
        <v>7</v>
      </c>
      <c r="X62" s="58" t="s">
        <v>190</v>
      </c>
      <c r="Y62" s="65"/>
      <c r="Z62" s="65"/>
      <c r="AA62" s="66"/>
      <c r="AB62" s="6"/>
      <c r="AC62" s="6"/>
      <c r="AD62" s="100">
        <v>4</v>
      </c>
      <c r="AE62" s="72" t="s">
        <v>196</v>
      </c>
      <c r="AF62" s="72"/>
      <c r="AG62" s="72"/>
      <c r="AH62" s="73"/>
      <c r="AI62" s="6"/>
      <c r="AJ62" s="6"/>
    </row>
    <row r="63" spans="2:36" ht="33.75" customHeight="1" thickBot="1">
      <c r="C63" s="7"/>
      <c r="D63" s="234" t="s">
        <v>192</v>
      </c>
      <c r="E63" s="235"/>
      <c r="F63" s="235"/>
      <c r="G63" s="235"/>
      <c r="H63" s="236"/>
      <c r="I63" s="145">
        <v>2</v>
      </c>
      <c r="J63" s="146" t="s">
        <v>193</v>
      </c>
      <c r="K63" s="147"/>
      <c r="L63" s="142"/>
      <c r="M63" s="6"/>
      <c r="N63" s="38"/>
      <c r="O63" s="95">
        <v>13</v>
      </c>
      <c r="P63" s="84" t="s">
        <v>194</v>
      </c>
      <c r="Q63" s="120"/>
      <c r="R63" s="120"/>
      <c r="S63" s="120"/>
      <c r="T63" s="121"/>
      <c r="U63" s="7"/>
      <c r="V63" s="6"/>
      <c r="W63" s="111">
        <v>8</v>
      </c>
      <c r="X63" s="72" t="s">
        <v>195</v>
      </c>
      <c r="Y63" s="72"/>
      <c r="Z63" s="72"/>
      <c r="AA63" s="73"/>
      <c r="AB63" s="6"/>
      <c r="AD63" s="100">
        <v>5</v>
      </c>
      <c r="AE63" s="72" t="s">
        <v>198</v>
      </c>
      <c r="AF63" s="151"/>
      <c r="AG63" s="151"/>
      <c r="AH63" s="152"/>
      <c r="AI63" s="6"/>
      <c r="AJ63" s="6"/>
    </row>
    <row r="64" spans="2:36" ht="33.75" customHeight="1" thickBot="1">
      <c r="C64" s="7"/>
      <c r="D64" s="215" t="s">
        <v>234</v>
      </c>
      <c r="E64" s="216"/>
      <c r="F64" s="216"/>
      <c r="G64" s="216"/>
      <c r="H64" s="217"/>
      <c r="I64" s="148">
        <f>1+3+7+7+5</f>
        <v>23</v>
      </c>
      <c r="J64" s="149" t="s">
        <v>193</v>
      </c>
      <c r="K64" s="150"/>
      <c r="L64" s="142"/>
      <c r="M64" s="6"/>
      <c r="N64" s="38"/>
      <c r="O64" s="118"/>
      <c r="V64" s="6"/>
      <c r="W64" s="111">
        <v>9</v>
      </c>
      <c r="X64" s="72" t="s">
        <v>197</v>
      </c>
      <c r="Y64" s="72"/>
      <c r="Z64" s="72"/>
      <c r="AA64" s="73"/>
      <c r="AB64" s="6"/>
      <c r="AD64" s="111">
        <v>6</v>
      </c>
      <c r="AE64" s="72" t="s">
        <v>201</v>
      </c>
      <c r="AF64" s="151"/>
      <c r="AG64" s="151"/>
      <c r="AH64" s="152"/>
      <c r="AI64" s="6"/>
      <c r="AJ64" s="6"/>
    </row>
    <row r="65" spans="3:36" ht="33.75" customHeight="1" thickBot="1">
      <c r="C65" s="7"/>
      <c r="D65" s="215" t="s">
        <v>235</v>
      </c>
      <c r="E65" s="216"/>
      <c r="F65" s="216"/>
      <c r="G65" s="216"/>
      <c r="H65" s="217"/>
      <c r="I65" s="153">
        <f>1+4+4+2+11+3</f>
        <v>25</v>
      </c>
      <c r="J65" s="154" t="s">
        <v>193</v>
      </c>
      <c r="K65" s="155"/>
      <c r="L65" s="211"/>
      <c r="M65" s="6"/>
      <c r="N65" s="70"/>
      <c r="O65" s="218" t="s">
        <v>199</v>
      </c>
      <c r="P65" s="219"/>
      <c r="Q65" s="219"/>
      <c r="R65" s="219"/>
      <c r="S65" s="219"/>
      <c r="T65" s="220"/>
      <c r="V65" s="6"/>
      <c r="W65" s="111">
        <v>10</v>
      </c>
      <c r="X65" s="72" t="s">
        <v>200</v>
      </c>
      <c r="Y65" s="72"/>
      <c r="Z65" s="72"/>
      <c r="AA65" s="73"/>
      <c r="AB65" s="6"/>
      <c r="AD65" s="80">
        <v>7</v>
      </c>
      <c r="AE65" s="81" t="s">
        <v>204</v>
      </c>
      <c r="AF65" s="124"/>
      <c r="AG65" s="124"/>
      <c r="AH65" s="125"/>
      <c r="AI65" s="6"/>
      <c r="AJ65" s="6"/>
    </row>
    <row r="66" spans="3:36" ht="33.75" customHeight="1" thickBot="1">
      <c r="C66" s="26"/>
      <c r="D66" s="212" t="s">
        <v>236</v>
      </c>
      <c r="E66" s="213"/>
      <c r="F66" s="213"/>
      <c r="G66" s="213"/>
      <c r="H66" s="214"/>
      <c r="I66" s="208">
        <f>1+4+10+11+13+17</f>
        <v>56</v>
      </c>
      <c r="J66" s="208" t="s">
        <v>193</v>
      </c>
      <c r="K66" s="224"/>
      <c r="L66" s="211"/>
      <c r="M66" s="7"/>
      <c r="N66" s="70"/>
      <c r="O66" s="225" t="s">
        <v>202</v>
      </c>
      <c r="P66" s="226"/>
      <c r="Q66" s="226"/>
      <c r="R66" s="226"/>
      <c r="S66" s="226"/>
      <c r="T66" s="227"/>
      <c r="V66" s="6"/>
      <c r="W66" s="111">
        <v>11</v>
      </c>
      <c r="X66" s="72" t="s">
        <v>203</v>
      </c>
      <c r="Y66" s="72"/>
      <c r="Z66" s="72"/>
      <c r="AA66" s="73"/>
      <c r="AC66" s="6"/>
      <c r="AD66" s="88">
        <v>8</v>
      </c>
      <c r="AE66" s="84" t="s">
        <v>207</v>
      </c>
      <c r="AF66" s="157"/>
      <c r="AG66" s="157"/>
      <c r="AH66" s="158"/>
      <c r="AI66" s="7"/>
      <c r="AJ66" s="7"/>
    </row>
    <row r="67" spans="3:36" ht="33.75" customHeight="1" thickBot="1">
      <c r="C67" s="7"/>
      <c r="D67" s="221"/>
      <c r="E67" s="222"/>
      <c r="F67" s="222"/>
      <c r="G67" s="222"/>
      <c r="H67" s="223"/>
      <c r="I67" s="208"/>
      <c r="J67" s="208"/>
      <c r="K67" s="224"/>
      <c r="L67" s="142"/>
      <c r="M67" s="7"/>
      <c r="N67" s="38"/>
      <c r="O67" s="46">
        <v>1</v>
      </c>
      <c r="P67" s="51" t="s">
        <v>205</v>
      </c>
      <c r="T67" s="156"/>
      <c r="U67" s="7"/>
      <c r="W67" s="88">
        <v>12</v>
      </c>
      <c r="X67" s="84" t="s">
        <v>206</v>
      </c>
      <c r="Y67" s="84"/>
      <c r="Z67" s="84"/>
      <c r="AA67" s="85"/>
      <c r="AB67" s="7"/>
      <c r="AI67" s="1"/>
      <c r="AJ67" s="1"/>
    </row>
    <row r="68" spans="3:36" ht="34.5" customHeight="1" thickTop="1">
      <c r="C68" s="7"/>
      <c r="D68" s="205" t="s">
        <v>237</v>
      </c>
      <c r="E68" s="206"/>
      <c r="F68" s="206"/>
      <c r="G68" s="206"/>
      <c r="H68" s="207"/>
      <c r="I68" s="208">
        <f>1+3+7+18+12</f>
        <v>41</v>
      </c>
      <c r="J68" s="209" t="s">
        <v>193</v>
      </c>
      <c r="K68" s="210"/>
      <c r="L68" s="211"/>
      <c r="M68" s="7"/>
      <c r="N68" s="159"/>
      <c r="O68" s="53">
        <v>2</v>
      </c>
      <c r="P68" s="51" t="s">
        <v>208</v>
      </c>
      <c r="Q68" s="109"/>
      <c r="R68" s="51"/>
      <c r="S68" s="51"/>
      <c r="T68" s="52"/>
      <c r="U68" s="7"/>
      <c r="AB68" s="7"/>
      <c r="AI68" s="1"/>
      <c r="AJ68" s="1"/>
    </row>
    <row r="69" spans="3:36" ht="34.5" customHeight="1">
      <c r="C69" s="7"/>
      <c r="D69" s="205"/>
      <c r="E69" s="206"/>
      <c r="F69" s="206"/>
      <c r="G69" s="206"/>
      <c r="H69" s="207"/>
      <c r="I69" s="208"/>
      <c r="J69" s="209"/>
      <c r="K69" s="210"/>
      <c r="L69" s="211"/>
      <c r="M69" s="7"/>
      <c r="N69" s="156"/>
      <c r="O69" s="53">
        <v>3</v>
      </c>
      <c r="P69" s="51" t="s">
        <v>209</v>
      </c>
      <c r="Q69" s="51"/>
      <c r="R69" s="51"/>
      <c r="S69" s="51"/>
      <c r="T69" s="52"/>
      <c r="U69" s="7"/>
      <c r="AB69" s="7"/>
      <c r="AI69" s="1"/>
      <c r="AJ69" s="1"/>
    </row>
    <row r="70" spans="3:36" ht="33.75" customHeight="1">
      <c r="C70" s="7"/>
      <c r="D70" s="212" t="s">
        <v>238</v>
      </c>
      <c r="E70" s="213"/>
      <c r="F70" s="213"/>
      <c r="G70" s="213"/>
      <c r="H70" s="214"/>
      <c r="I70" s="208">
        <f>1+3+21+7+8</f>
        <v>40</v>
      </c>
      <c r="J70" s="209" t="s">
        <v>193</v>
      </c>
      <c r="K70" s="210"/>
      <c r="L70" s="160"/>
      <c r="M70" s="7"/>
      <c r="N70" s="156"/>
      <c r="O70" s="67">
        <v>4</v>
      </c>
      <c r="P70" s="68" t="s">
        <v>210</v>
      </c>
      <c r="Q70" s="86"/>
      <c r="R70" s="86"/>
      <c r="S70" s="86"/>
      <c r="T70" s="87"/>
      <c r="U70" s="7"/>
      <c r="AB70" s="7"/>
      <c r="AC70" s="6"/>
      <c r="AD70" s="1"/>
      <c r="AE70" s="1"/>
      <c r="AF70" s="1"/>
      <c r="AG70" s="1"/>
      <c r="AH70" s="1"/>
      <c r="AI70" s="7"/>
      <c r="AJ70" s="7"/>
    </row>
    <row r="71" spans="3:36" ht="33.75" customHeight="1" thickBot="1">
      <c r="C71" s="7"/>
      <c r="D71" s="205"/>
      <c r="E71" s="206"/>
      <c r="F71" s="206"/>
      <c r="G71" s="206"/>
      <c r="H71" s="207"/>
      <c r="I71" s="208"/>
      <c r="J71" s="209"/>
      <c r="K71" s="210"/>
      <c r="L71" s="161"/>
      <c r="M71" s="7"/>
      <c r="N71" s="156"/>
      <c r="O71" s="67">
        <v>5</v>
      </c>
      <c r="P71" s="58" t="s">
        <v>211</v>
      </c>
      <c r="Q71" s="58"/>
      <c r="R71" s="58"/>
      <c r="S71" s="58"/>
      <c r="T71" s="59"/>
      <c r="U71" s="7"/>
      <c r="AB71" s="7"/>
      <c r="AC71" s="6"/>
      <c r="AD71" s="1"/>
      <c r="AE71" s="1"/>
      <c r="AF71" s="1"/>
      <c r="AG71" s="1"/>
      <c r="AH71" s="1"/>
      <c r="AI71" s="7"/>
      <c r="AJ71" s="7"/>
    </row>
    <row r="72" spans="3:36" ht="33.75" customHeight="1">
      <c r="C72" s="7"/>
      <c r="D72" s="185" t="s">
        <v>212</v>
      </c>
      <c r="E72" s="186"/>
      <c r="F72" s="186"/>
      <c r="G72" s="186"/>
      <c r="H72" s="187"/>
      <c r="I72" s="148">
        <f>1+2+4</f>
        <v>7</v>
      </c>
      <c r="J72" s="188" t="s">
        <v>193</v>
      </c>
      <c r="K72" s="189"/>
      <c r="L72" s="7"/>
      <c r="M72" s="7"/>
      <c r="N72" s="156"/>
      <c r="O72" s="67">
        <v>6</v>
      </c>
      <c r="P72" s="58" t="s">
        <v>213</v>
      </c>
      <c r="Q72" s="58"/>
      <c r="R72" s="58"/>
      <c r="S72" s="58"/>
      <c r="T72" s="59"/>
      <c r="U72" s="7"/>
      <c r="AB72" s="7"/>
      <c r="AC72" s="7"/>
      <c r="AD72" s="190" t="s">
        <v>214</v>
      </c>
      <c r="AE72" s="191"/>
      <c r="AF72" s="191"/>
      <c r="AG72" s="191"/>
      <c r="AH72" s="192"/>
      <c r="AI72" s="7"/>
      <c r="AJ72" s="7"/>
    </row>
    <row r="73" spans="3:36" ht="33.75" customHeight="1" thickBot="1">
      <c r="C73" s="7"/>
      <c r="D73" s="196" t="s">
        <v>215</v>
      </c>
      <c r="E73" s="197"/>
      <c r="F73" s="197"/>
      <c r="G73" s="197"/>
      <c r="H73" s="198"/>
      <c r="I73" s="162">
        <f>SUM(I63:I72)</f>
        <v>194</v>
      </c>
      <c r="J73" s="163" t="s">
        <v>193</v>
      </c>
      <c r="K73" s="164"/>
      <c r="L73" s="7"/>
      <c r="M73" s="7"/>
      <c r="N73" s="156"/>
      <c r="O73" s="67">
        <v>7</v>
      </c>
      <c r="P73" s="58" t="s">
        <v>216</v>
      </c>
      <c r="Q73" s="58"/>
      <c r="R73" s="58"/>
      <c r="S73" s="58"/>
      <c r="T73" s="59"/>
      <c r="U73" s="7"/>
      <c r="AB73" s="7"/>
      <c r="AD73" s="193"/>
      <c r="AE73" s="194"/>
      <c r="AF73" s="194"/>
      <c r="AG73" s="194"/>
      <c r="AH73" s="195"/>
      <c r="AI73" s="7"/>
      <c r="AJ73" s="7"/>
    </row>
    <row r="74" spans="3:36" ht="33.75" thickBot="1">
      <c r="N74" s="156"/>
      <c r="O74" s="67">
        <v>8</v>
      </c>
      <c r="P74" s="65" t="s">
        <v>217</v>
      </c>
      <c r="Q74" s="65"/>
      <c r="R74" s="65"/>
      <c r="S74" s="65"/>
      <c r="T74" s="66"/>
      <c r="AC74" s="6"/>
      <c r="AD74" s="199" t="s">
        <v>218</v>
      </c>
      <c r="AE74" s="200"/>
      <c r="AF74" s="200"/>
      <c r="AG74" s="200"/>
      <c r="AH74" s="201"/>
    </row>
    <row r="75" spans="3:36" ht="34.5" customHeight="1" thickTop="1">
      <c r="D75" s="165" t="s">
        <v>219</v>
      </c>
      <c r="E75" s="166">
        <f>1+(1+3+2+1+1)+(1+4+4+1+11+1)+(1+4+2+4+3+3)+(1+3+1+6+2)+(1+3+4+2+1)+(1+2+2+2)</f>
        <v>79</v>
      </c>
      <c r="I75" s="167"/>
      <c r="N75" s="156"/>
      <c r="O75" s="100">
        <v>9</v>
      </c>
      <c r="P75" s="72" t="s">
        <v>220</v>
      </c>
      <c r="Q75" s="113"/>
      <c r="R75" s="113"/>
      <c r="S75" s="113"/>
      <c r="T75" s="114"/>
      <c r="AC75" s="6"/>
      <c r="AD75" s="202" t="s">
        <v>221</v>
      </c>
      <c r="AE75" s="203"/>
      <c r="AF75" s="203"/>
      <c r="AG75" s="203"/>
      <c r="AH75" s="204"/>
    </row>
    <row r="76" spans="3:36" ht="36.75" thickBot="1">
      <c r="D76" s="168" t="s">
        <v>222</v>
      </c>
      <c r="E76" s="169">
        <v>40</v>
      </c>
      <c r="N76" s="156"/>
      <c r="O76" s="100">
        <v>10</v>
      </c>
      <c r="P76" s="72" t="s">
        <v>223</v>
      </c>
      <c r="Q76" s="113"/>
      <c r="R76" s="113"/>
      <c r="S76" s="113"/>
      <c r="T76" s="114"/>
      <c r="AC76" s="6"/>
      <c r="AD76" s="180" t="s">
        <v>224</v>
      </c>
      <c r="AE76" s="181"/>
      <c r="AF76" s="181"/>
      <c r="AG76" s="181"/>
      <c r="AH76" s="182"/>
    </row>
    <row r="77" spans="3:36" ht="36">
      <c r="D77" s="170" t="s">
        <v>225</v>
      </c>
      <c r="E77" s="169">
        <v>75</v>
      </c>
      <c r="N77" s="156"/>
      <c r="O77" s="100">
        <v>11</v>
      </c>
      <c r="P77" s="72" t="s">
        <v>226</v>
      </c>
      <c r="Q77" s="72"/>
      <c r="R77" s="72"/>
      <c r="S77" s="72"/>
      <c r="T77" s="73"/>
      <c r="AD77" s="1"/>
      <c r="AE77" s="1"/>
      <c r="AF77" s="1"/>
      <c r="AG77" s="1"/>
      <c r="AH77" s="1"/>
    </row>
    <row r="78" spans="3:36" ht="36" thickBot="1">
      <c r="D78" s="171"/>
      <c r="E78" s="172">
        <f>SUM(E75:E77)</f>
        <v>194</v>
      </c>
      <c r="N78" s="156"/>
      <c r="O78" s="100">
        <v>12</v>
      </c>
      <c r="P78" s="72" t="s">
        <v>227</v>
      </c>
      <c r="Q78" s="72"/>
      <c r="R78" s="72"/>
      <c r="S78" s="72"/>
      <c r="T78" s="73"/>
      <c r="AD78" s="183"/>
      <c r="AE78" s="183"/>
      <c r="AF78" s="183"/>
      <c r="AG78" s="183"/>
      <c r="AH78" s="183"/>
    </row>
    <row r="79" spans="3:36" ht="33.75" thickTop="1">
      <c r="N79" s="156"/>
      <c r="O79" s="100">
        <v>13</v>
      </c>
      <c r="P79" s="72" t="s">
        <v>228</v>
      </c>
      <c r="Q79" s="72"/>
      <c r="R79" s="72"/>
      <c r="S79" s="72"/>
      <c r="T79" s="73"/>
      <c r="AD79" s="183"/>
      <c r="AE79" s="183"/>
      <c r="AF79" s="183"/>
      <c r="AG79" s="183"/>
      <c r="AH79" s="183"/>
    </row>
    <row r="80" spans="3:36" ht="33">
      <c r="I80" s="173"/>
      <c r="L80" s="2" t="s">
        <v>229</v>
      </c>
      <c r="N80" s="156"/>
      <c r="O80" s="100">
        <v>14</v>
      </c>
      <c r="P80" s="81" t="s">
        <v>230</v>
      </c>
      <c r="Q80" s="72"/>
      <c r="R80" s="72"/>
      <c r="S80" s="72"/>
      <c r="T80" s="73"/>
      <c r="AD80" s="184"/>
      <c r="AE80" s="184"/>
      <c r="AF80" s="184"/>
      <c r="AG80" s="184"/>
      <c r="AH80" s="184"/>
    </row>
    <row r="81" spans="1:40" ht="33">
      <c r="G81" s="5"/>
      <c r="N81" s="156"/>
      <c r="O81" s="100">
        <v>15</v>
      </c>
      <c r="P81" s="81" t="s">
        <v>231</v>
      </c>
      <c r="Q81" s="174"/>
      <c r="R81" s="174"/>
      <c r="S81" s="81"/>
      <c r="T81" s="175"/>
      <c r="AD81" s="184"/>
      <c r="AE81" s="184"/>
      <c r="AF81" s="184"/>
      <c r="AG81" s="184"/>
      <c r="AH81" s="184"/>
    </row>
    <row r="82" spans="1:40" s="2" customFormat="1" ht="33" customHeight="1">
      <c r="A82" s="1"/>
      <c r="D82" s="176"/>
      <c r="E82" s="177"/>
      <c r="N82" s="156"/>
      <c r="O82" s="100">
        <v>16</v>
      </c>
      <c r="P82" s="81" t="s">
        <v>232</v>
      </c>
      <c r="Q82" s="174"/>
      <c r="R82" s="174"/>
      <c r="S82" s="81"/>
      <c r="T82" s="175"/>
      <c r="AK82" s="1"/>
      <c r="AL82" s="1"/>
      <c r="AM82" s="1"/>
      <c r="AN82" s="1"/>
    </row>
    <row r="83" spans="1:40" s="2" customFormat="1" ht="33.75" customHeight="1" thickBot="1">
      <c r="A83" s="1"/>
      <c r="D83" s="7"/>
      <c r="E83" s="178"/>
      <c r="F83" s="179"/>
      <c r="G83" s="179"/>
      <c r="H83" s="179"/>
      <c r="N83" s="156"/>
      <c r="O83" s="102">
        <v>17</v>
      </c>
      <c r="P83" s="84" t="s">
        <v>233</v>
      </c>
      <c r="Q83" s="97"/>
      <c r="R83" s="97"/>
      <c r="S83" s="84"/>
      <c r="T83" s="98"/>
      <c r="AK83" s="1"/>
      <c r="AL83" s="1"/>
      <c r="AM83" s="1"/>
      <c r="AN83" s="1"/>
    </row>
    <row r="84" spans="1:40" s="2" customFormat="1">
      <c r="A84" s="1"/>
      <c r="O84" s="105"/>
      <c r="AK84" s="1"/>
      <c r="AL84" s="1"/>
      <c r="AM84" s="1"/>
      <c r="AN84" s="1"/>
    </row>
    <row r="85" spans="1:40" ht="34.5" customHeight="1"/>
    <row r="86" spans="1:40" s="2" customFormat="1">
      <c r="A86" s="1"/>
      <c r="AK86" s="1"/>
      <c r="AL86" s="1"/>
      <c r="AM86" s="1"/>
      <c r="AN86" s="1"/>
    </row>
    <row r="87" spans="1:40" s="2" customFormat="1">
      <c r="A87" s="1"/>
      <c r="AK87" s="1"/>
      <c r="AL87" s="1"/>
      <c r="AM87" s="1"/>
      <c r="AN87" s="1"/>
    </row>
    <row r="88" spans="1:40" s="2" customFormat="1">
      <c r="A88" s="1"/>
      <c r="AK88" s="1"/>
      <c r="AL88" s="1"/>
      <c r="AM88" s="1"/>
      <c r="AN88" s="1"/>
    </row>
    <row r="89" spans="1:40" s="2" customFormat="1" ht="33">
      <c r="A89" s="1"/>
      <c r="N89" s="6"/>
      <c r="AK89" s="1"/>
      <c r="AL89" s="1"/>
      <c r="AM89" s="1"/>
      <c r="AN89" s="1"/>
    </row>
    <row r="90" spans="1:40" s="2" customFormat="1">
      <c r="A90" s="1"/>
      <c r="AK90" s="1"/>
      <c r="AL90" s="1"/>
      <c r="AM90" s="1"/>
      <c r="AN90" s="1"/>
    </row>
    <row r="91" spans="1:40" s="2" customFormat="1">
      <c r="A91" s="1"/>
      <c r="AK91" s="1"/>
      <c r="AL91" s="1"/>
      <c r="AM91" s="1"/>
      <c r="AN91" s="1"/>
    </row>
    <row r="92" spans="1:40" s="2" customFormat="1" ht="33">
      <c r="A92" s="1"/>
      <c r="N92" s="6"/>
      <c r="AK92" s="1"/>
      <c r="AL92" s="1"/>
      <c r="AM92" s="1"/>
      <c r="AN92" s="1"/>
    </row>
    <row r="93" spans="1:40" s="2" customFormat="1" ht="33">
      <c r="A93" s="1"/>
      <c r="N93" s="6"/>
      <c r="AK93" s="1"/>
      <c r="AL93" s="1"/>
      <c r="AM93" s="1"/>
      <c r="AN93" s="1"/>
    </row>
    <row r="94" spans="1:40" s="2" customFormat="1" ht="33">
      <c r="A94" s="1"/>
      <c r="N94" s="6"/>
      <c r="AK94" s="1"/>
      <c r="AL94" s="1"/>
      <c r="AM94" s="1"/>
      <c r="AN94" s="1"/>
    </row>
    <row r="95" spans="1:40" s="2" customFormat="1" ht="33">
      <c r="A95" s="1"/>
      <c r="N95" s="6"/>
      <c r="AK95" s="1"/>
      <c r="AL95" s="1"/>
      <c r="AM95" s="1"/>
      <c r="AN95" s="1"/>
    </row>
    <row r="96" spans="1:40" s="2" customFormat="1" ht="33">
      <c r="A96" s="1"/>
      <c r="N96" s="6"/>
      <c r="AK96" s="1"/>
      <c r="AL96" s="1"/>
      <c r="AM96" s="1"/>
      <c r="AN96" s="1"/>
    </row>
    <row r="97" spans="1:40" s="2" customFormat="1" ht="33">
      <c r="A97" s="1"/>
      <c r="N97" s="6"/>
      <c r="AK97" s="1"/>
      <c r="AL97" s="1"/>
      <c r="AM97" s="1"/>
      <c r="AN97" s="1"/>
    </row>
    <row r="98" spans="1:40" s="2" customFormat="1" ht="33">
      <c r="A98" s="1"/>
      <c r="N98" s="6"/>
      <c r="AK98" s="1"/>
      <c r="AL98" s="1"/>
      <c r="AM98" s="1"/>
      <c r="AN98" s="1"/>
    </row>
    <row r="99" spans="1:40" ht="33">
      <c r="N99" s="6"/>
    </row>
    <row r="100" spans="1:40" s="2" customFormat="1" ht="33">
      <c r="A100" s="1"/>
      <c r="N100" s="6"/>
      <c r="AK100" s="1"/>
      <c r="AL100" s="1"/>
      <c r="AM100" s="1"/>
      <c r="AN100" s="1"/>
    </row>
    <row r="101" spans="1:40" ht="33">
      <c r="N101" s="6"/>
    </row>
  </sheetData>
  <mergeCells count="81">
    <mergeCell ref="Z10:AC10"/>
    <mergeCell ref="AD57:AH57"/>
    <mergeCell ref="AD58:AH58"/>
    <mergeCell ref="A1:AJ5"/>
    <mergeCell ref="P7:T7"/>
    <mergeCell ref="P8:T8"/>
    <mergeCell ref="AG8:AJ8"/>
    <mergeCell ref="Z9:AC9"/>
    <mergeCell ref="Z11:AC11"/>
    <mergeCell ref="C18:F18"/>
    <mergeCell ref="I18:L18"/>
    <mergeCell ref="O18:T18"/>
    <mergeCell ref="W18:AA18"/>
    <mergeCell ref="AK18:AT18"/>
    <mergeCell ref="C19:F19"/>
    <mergeCell ref="I19:L19"/>
    <mergeCell ref="O19:T19"/>
    <mergeCell ref="W19:AA19"/>
    <mergeCell ref="AD19:AH19"/>
    <mergeCell ref="AK19:AS19"/>
    <mergeCell ref="AD18:AH18"/>
    <mergeCell ref="AD23:AH23"/>
    <mergeCell ref="AK23:AT23"/>
    <mergeCell ref="C22:F22"/>
    <mergeCell ref="I22:L22"/>
    <mergeCell ref="O22:T22"/>
    <mergeCell ref="W22:AA22"/>
    <mergeCell ref="AD22:AH22"/>
    <mergeCell ref="AK22:AT22"/>
    <mergeCell ref="C32:F32"/>
    <mergeCell ref="W32:AA32"/>
    <mergeCell ref="C23:F23"/>
    <mergeCell ref="I23:L23"/>
    <mergeCell ref="O23:T23"/>
    <mergeCell ref="W23:AA23"/>
    <mergeCell ref="O36:T36"/>
    <mergeCell ref="AK27:AT27"/>
    <mergeCell ref="AK28:AT28"/>
    <mergeCell ref="I29:L29"/>
    <mergeCell ref="I30:L30"/>
    <mergeCell ref="C33:F33"/>
    <mergeCell ref="W33:AA33"/>
    <mergeCell ref="I34:L34"/>
    <mergeCell ref="I35:L35"/>
    <mergeCell ref="O35:T35"/>
    <mergeCell ref="D63:H63"/>
    <mergeCell ref="C42:F42"/>
    <mergeCell ref="C43:F43"/>
    <mergeCell ref="AD46:AH47"/>
    <mergeCell ref="I48:L48"/>
    <mergeCell ref="AD48:AH48"/>
    <mergeCell ref="I49:L49"/>
    <mergeCell ref="O49:T49"/>
    <mergeCell ref="O50:T50"/>
    <mergeCell ref="W53:AA54"/>
    <mergeCell ref="W55:AA55"/>
    <mergeCell ref="D64:H64"/>
    <mergeCell ref="D65:H65"/>
    <mergeCell ref="L65:L66"/>
    <mergeCell ref="O65:T65"/>
    <mergeCell ref="D66:H67"/>
    <mergeCell ref="I66:I67"/>
    <mergeCell ref="J66:K67"/>
    <mergeCell ref="O66:T66"/>
    <mergeCell ref="D68:H69"/>
    <mergeCell ref="I68:I69"/>
    <mergeCell ref="J68:K69"/>
    <mergeCell ref="L68:L69"/>
    <mergeCell ref="D70:H71"/>
    <mergeCell ref="I70:I71"/>
    <mergeCell ref="J70:K71"/>
    <mergeCell ref="AD76:AH76"/>
    <mergeCell ref="AD78:AH79"/>
    <mergeCell ref="AD80:AH80"/>
    <mergeCell ref="AD81:AH81"/>
    <mergeCell ref="D72:H72"/>
    <mergeCell ref="J72:K72"/>
    <mergeCell ref="AD72:AH73"/>
    <mergeCell ref="D73:H73"/>
    <mergeCell ref="AD74:AH74"/>
    <mergeCell ref="AD75:AH75"/>
  </mergeCells>
  <printOptions horizontalCentered="1" verticalCentered="1"/>
  <pageMargins left="0.156944444444444" right="0.156944444444444" top="0.196527777777778" bottom="0.156944444444444" header="0.118055555555556" footer="3.8888888888888903E-2"/>
  <pageSetup paperSize="8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CalonPers</vt:lpstr>
      <vt:lpstr>CalonPers!Print_Area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Aldie Akbar Suryawan, S.T.</dc:creator>
  <cp:lastModifiedBy>Aldie Akbar Suryawan, S.T.</cp:lastModifiedBy>
  <dcterms:created xsi:type="dcterms:W3CDTF">2026-08-05T08:43:45Z</dcterms:created>
  <dcterms:modified xsi:type="dcterms:W3CDTF">2026-08-06T06:29:19Z</dcterms:modified>
</cp:coreProperties>
</file>